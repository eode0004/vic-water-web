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ano/Documents/the horrors/vic-water-web/graphs/data/"/>
    </mc:Choice>
  </mc:AlternateContent>
  <xr:revisionPtr revIDLastSave="0" documentId="8_{32BBE928-92C0-584D-A61D-CC3ABAA45CCF}" xr6:coauthVersionLast="47" xr6:coauthVersionMax="47" xr10:uidLastSave="{00000000-0000-0000-0000-000000000000}"/>
  <bookViews>
    <workbookView xWindow="0" yWindow="600" windowWidth="28800" windowHeight="16240" activeTab="4" xr2:uid="{4026E407-355B-4143-ABA4-689D60EAD8FE}"/>
  </bookViews>
  <sheets>
    <sheet name="tripinfo (3)" sheetId="5" r:id="rId1"/>
    <sheet name="tripinfo" sheetId="13" r:id="rId2"/>
    <sheet name="Query (2)" sheetId="24" r:id="rId3"/>
    <sheet name="Query" sheetId="23" r:id="rId4"/>
    <sheet name="Sheet1" sheetId="1" r:id="rId5"/>
  </sheets>
  <definedNames>
    <definedName name="_xlchart.v1.0" hidden="1">Sheet1!$E$2</definedName>
    <definedName name="_xlchart.v1.1" hidden="1">Sheet1!$E$3:$E$302</definedName>
    <definedName name="_xlchart.v1.10" hidden="1">Sheet1!$F$2</definedName>
    <definedName name="_xlchart.v1.11" hidden="1">Sheet1!$F$3:$F$302</definedName>
    <definedName name="_xlchart.v1.12" hidden="1">Sheet1!$E$2</definedName>
    <definedName name="_xlchart.v1.13" hidden="1">Sheet1!$E$3:$E$302</definedName>
    <definedName name="_xlchart.v1.14" hidden="1">Sheet1!$F$2</definedName>
    <definedName name="_xlchart.v1.15" hidden="1">Sheet1!$F$3:$F$302</definedName>
    <definedName name="_xlchart.v1.16" hidden="1">Sheet1!$E$2</definedName>
    <definedName name="_xlchart.v1.17" hidden="1">Sheet1!$E$3:$E$302</definedName>
    <definedName name="_xlchart.v1.18" hidden="1">Sheet1!$F$2</definedName>
    <definedName name="_xlchart.v1.19" hidden="1">Sheet1!$F$3:$F$302</definedName>
    <definedName name="_xlchart.v1.2" hidden="1">Sheet1!$F$2</definedName>
    <definedName name="_xlchart.v1.20" hidden="1">Sheet1!$E$2</definedName>
    <definedName name="_xlchart.v1.21" hidden="1">Sheet1!$E$3:$E$302</definedName>
    <definedName name="_xlchart.v1.22" hidden="1">Sheet1!$F$2</definedName>
    <definedName name="_xlchart.v1.23" hidden="1">Sheet1!$F$3:$F$302</definedName>
    <definedName name="_xlchart.v1.24" hidden="1">Sheet1!$E$2</definedName>
    <definedName name="_xlchart.v1.25" hidden="1">Sheet1!$E$3:$E$302</definedName>
    <definedName name="_xlchart.v1.26" hidden="1">Sheet1!$F$2</definedName>
    <definedName name="_xlchart.v1.27" hidden="1">Sheet1!$F$3:$F$302</definedName>
    <definedName name="_xlchart.v1.28" hidden="1">Sheet1!$E$2</definedName>
    <definedName name="_xlchart.v1.29" hidden="1">Sheet1!$E$3:$E$302</definedName>
    <definedName name="_xlchart.v1.3" hidden="1">Sheet1!$F$3:$F$302</definedName>
    <definedName name="_xlchart.v1.30" hidden="1">Sheet1!$F$2</definedName>
    <definedName name="_xlchart.v1.31" hidden="1">Sheet1!$F$3:$F$302</definedName>
    <definedName name="_xlchart.v1.32" hidden="1">Sheet1!$E$2</definedName>
    <definedName name="_xlchart.v1.33" hidden="1">Sheet1!$E$3:$E$302</definedName>
    <definedName name="_xlchart.v1.34" hidden="1">Sheet1!$F$2</definedName>
    <definedName name="_xlchart.v1.35" hidden="1">Sheet1!$F$3:$F$302</definedName>
    <definedName name="_xlchart.v1.36" hidden="1">Sheet1!$E$2</definedName>
    <definedName name="_xlchart.v1.37" hidden="1">Sheet1!$E$3:$E$302</definedName>
    <definedName name="_xlchart.v1.38" hidden="1">Sheet1!$F$2</definedName>
    <definedName name="_xlchart.v1.39" hidden="1">Sheet1!$F$3:$F$302</definedName>
    <definedName name="_xlchart.v1.4" hidden="1">Sheet1!$E$2</definedName>
    <definedName name="_xlchart.v1.5" hidden="1">Sheet1!$E$3:$E$302</definedName>
    <definedName name="_xlchart.v1.6" hidden="1">Sheet1!$F$2</definedName>
    <definedName name="_xlchart.v1.7" hidden="1">Sheet1!$F$3:$F$302</definedName>
    <definedName name="_xlchart.v1.8" hidden="1">Sheet1!$E$2</definedName>
    <definedName name="_xlchart.v1.9" hidden="1">Sheet1!$E$3:$E$302</definedName>
    <definedName name="ExternalData_1" localSheetId="3" hidden="1">Query!$A$1:$D$241</definedName>
    <definedName name="ExternalData_1" localSheetId="1" hidden="1">tripinfo!$A$1:$B$31</definedName>
    <definedName name="ExternalData_1" localSheetId="0" hidden="1">'tripinfo (3)'!$A$1:$B$25</definedName>
    <definedName name="ExternalData_2" localSheetId="2" hidden="1">'Query (2)'!$A$1:$D$241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J12" i="1"/>
  <c r="J11" i="1"/>
  <c r="J10" i="1"/>
  <c r="J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J8" i="1" a="1"/>
  <c r="J8" i="1" s="1"/>
  <c r="J7" i="1" a="1"/>
  <c r="J7" i="1" s="1"/>
  <c r="J6" i="1"/>
  <c r="J5" i="1"/>
  <c r="J4" i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BD4EE-FF77-D844-8023-5804D13EDEC3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2" xr16:uid="{ED180499-9262-CA4E-A64F-EE270F6A453A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<sst xmlns="http://schemas.openxmlformats.org/spreadsheetml/2006/main" count="1470" uniqueCount="297">
  <si>
    <t>Trial #</t>
  </si>
  <si>
    <t>Seed</t>
  </si>
  <si>
    <t>Control time</t>
  </si>
  <si>
    <t>Test time</t>
  </si>
  <si>
    <t>Departure time</t>
  </si>
  <si>
    <t>Value</t>
  </si>
  <si>
    <t>Control mean</t>
  </si>
  <si>
    <t>Control std. dev.</t>
  </si>
  <si>
    <t>Test mean</t>
  </si>
  <si>
    <t>Test std. dev.</t>
  </si>
  <si>
    <t>Attribute:id</t>
  </si>
  <si>
    <t>Attribute:depart</t>
  </si>
  <si>
    <t>Attribute:duration</t>
  </si>
  <si>
    <t>v_0</t>
  </si>
  <si>
    <t>v_1</t>
  </si>
  <si>
    <t>v_2</t>
  </si>
  <si>
    <t>Difference mean</t>
  </si>
  <si>
    <t>Difference std. dev.</t>
  </si>
  <si>
    <t>Name</t>
  </si>
  <si>
    <t>60.00</t>
  </si>
  <si>
    <t>287.00</t>
  </si>
  <si>
    <t>1021.00</t>
  </si>
  <si>
    <t>362.00</t>
  </si>
  <si>
    <t>3122.00</t>
  </si>
  <si>
    <t>537.00</t>
  </si>
  <si>
    <t>328.00</t>
  </si>
  <si>
    <t>386.00</t>
  </si>
  <si>
    <t>3120.00</t>
  </si>
  <si>
    <t>573.00</t>
  </si>
  <si>
    <t>357.00</t>
  </si>
  <si>
    <t>1020.00</t>
  </si>
  <si>
    <t>394.00</t>
  </si>
  <si>
    <t>496.00</t>
  </si>
  <si>
    <t>315.00</t>
  </si>
  <si>
    <t>441.00</t>
  </si>
  <si>
    <t>351.00</t>
  </si>
  <si>
    <t>353.00</t>
  </si>
  <si>
    <t>338.00</t>
  </si>
  <si>
    <t>579.00</t>
  </si>
  <si>
    <t>308.00</t>
  </si>
  <si>
    <t>1023.00</t>
  </si>
  <si>
    <t>429.00</t>
  </si>
  <si>
    <t>408.00</t>
  </si>
  <si>
    <t>366.00</t>
  </si>
  <si>
    <t>1025.00</t>
  </si>
  <si>
    <t>399.00</t>
  </si>
  <si>
    <t>392.00</t>
  </si>
  <si>
    <t>345.00</t>
  </si>
  <si>
    <t>1022.00</t>
  </si>
  <si>
    <t>322.00</t>
  </si>
  <si>
    <t>475.00</t>
  </si>
  <si>
    <t>342.00</t>
  </si>
  <si>
    <t>360.00</t>
  </si>
  <si>
    <t>367.00</t>
  </si>
  <si>
    <t>465.00</t>
  </si>
  <si>
    <t>535.00</t>
  </si>
  <si>
    <t>309.00</t>
  </si>
  <si>
    <t>379.00</t>
  </si>
  <si>
    <t>511.00</t>
  </si>
  <si>
    <t>306.00</t>
  </si>
  <si>
    <t>339.00</t>
  </si>
  <si>
    <t>476.00</t>
  </si>
  <si>
    <t>349.00</t>
  </si>
  <si>
    <t>397.00</t>
  </si>
  <si>
    <t>352.00</t>
  </si>
  <si>
    <t>422.00</t>
  </si>
  <si>
    <t>479.00</t>
  </si>
  <si>
    <t>331.00</t>
  </si>
  <si>
    <t>416.00</t>
  </si>
  <si>
    <t>337.00</t>
  </si>
  <si>
    <t>356.00</t>
  </si>
  <si>
    <t>433.00</t>
  </si>
  <si>
    <t>414.00</t>
  </si>
  <si>
    <t>358.00</t>
  </si>
  <si>
    <t>451.00</t>
  </si>
  <si>
    <t>406.00</t>
  </si>
  <si>
    <t>341.00</t>
  </si>
  <si>
    <t>382.00</t>
  </si>
  <si>
    <t>468.00</t>
  </si>
  <si>
    <t>359.00</t>
  </si>
  <si>
    <t>391.00</t>
  </si>
  <si>
    <t>438.00</t>
  </si>
  <si>
    <t>354.00</t>
  </si>
  <si>
    <t>3121.00</t>
  </si>
  <si>
    <t>427.00</t>
  </si>
  <si>
    <t>323.00</t>
  </si>
  <si>
    <t>344.00</t>
  </si>
  <si>
    <t>365.00</t>
  </si>
  <si>
    <t>368.00</t>
  </si>
  <si>
    <t>333.00</t>
  </si>
  <si>
    <t>401.00</t>
  </si>
  <si>
    <t>608.00</t>
  </si>
  <si>
    <t>372.00</t>
  </si>
  <si>
    <t>413.00</t>
  </si>
  <si>
    <t>361.00</t>
  </si>
  <si>
    <t>436.00</t>
  </si>
  <si>
    <t>304.00</t>
  </si>
  <si>
    <t>355.00</t>
  </si>
  <si>
    <t>439.00</t>
  </si>
  <si>
    <t>428.00</t>
  </si>
  <si>
    <t>305.00</t>
  </si>
  <si>
    <t>313.00</t>
  </si>
  <si>
    <t>434.00</t>
  </si>
  <si>
    <t>350.00</t>
  </si>
  <si>
    <t>586.00</t>
  </si>
  <si>
    <t>297.00</t>
  </si>
  <si>
    <t>458.00</t>
  </si>
  <si>
    <t>321.00</t>
  </si>
  <si>
    <t>274.00</t>
  </si>
  <si>
    <t>402.00</t>
  </si>
  <si>
    <t>346.00</t>
  </si>
  <si>
    <t>256.00</t>
  </si>
  <si>
    <t>296.00</t>
  </si>
  <si>
    <t>325.00</t>
  </si>
  <si>
    <t>324.00</t>
  </si>
  <si>
    <t>430.00</t>
  </si>
  <si>
    <t>286.00</t>
  </si>
  <si>
    <t>334.00</t>
  </si>
  <si>
    <t>369.00</t>
  </si>
  <si>
    <t>400.00</t>
  </si>
  <si>
    <t>314.00</t>
  </si>
  <si>
    <t>380.00</t>
  </si>
  <si>
    <t>487.00</t>
  </si>
  <si>
    <t>303.00</t>
  </si>
  <si>
    <t>1026.00</t>
  </si>
  <si>
    <t>462.00</t>
  </si>
  <si>
    <t>483.00</t>
  </si>
  <si>
    <t>515.00</t>
  </si>
  <si>
    <t>363.00</t>
  </si>
  <si>
    <t>559.00</t>
  </si>
  <si>
    <t>585.00</t>
  </si>
  <si>
    <t>389.00</t>
  </si>
  <si>
    <t>340.00</t>
  </si>
  <si>
    <t>278.00</t>
  </si>
  <si>
    <t>435.00</t>
  </si>
  <si>
    <t>388.00</t>
  </si>
  <si>
    <t>370.00</t>
  </si>
  <si>
    <t>486.00</t>
  </si>
  <si>
    <t>383.00</t>
  </si>
  <si>
    <t>396.00</t>
  </si>
  <si>
    <t>284.00</t>
  </si>
  <si>
    <t>477.00</t>
  </si>
  <si>
    <t>311.00</t>
  </si>
  <si>
    <t>347.00</t>
  </si>
  <si>
    <t>378.00</t>
  </si>
  <si>
    <t>590.00</t>
  </si>
  <si>
    <t>488.00</t>
  </si>
  <si>
    <t>318.00</t>
  </si>
  <si>
    <t>317.00</t>
  </si>
  <si>
    <t>405.00</t>
  </si>
  <si>
    <t>348.00</t>
  </si>
  <si>
    <t>298.00</t>
  </si>
  <si>
    <t>376.00</t>
  </si>
  <si>
    <t>404.00</t>
  </si>
  <si>
    <t>1024.00</t>
  </si>
  <si>
    <t>771.00</t>
  </si>
  <si>
    <t>374.00</t>
  </si>
  <si>
    <t>312.00</t>
  </si>
  <si>
    <t>466.00</t>
  </si>
  <si>
    <t>543.00</t>
  </si>
  <si>
    <t>463.00</t>
  </si>
  <si>
    <t>419.00</t>
  </si>
  <si>
    <t>387.00</t>
  </si>
  <si>
    <t>669.00</t>
  </si>
  <si>
    <t>650.00</t>
  </si>
  <si>
    <t>443.00</t>
  </si>
  <si>
    <t>457.00</t>
  </si>
  <si>
    <t>571.00</t>
  </si>
  <si>
    <t>373.00</t>
  </si>
  <si>
    <t>546.00</t>
  </si>
  <si>
    <t>445.00</t>
  </si>
  <si>
    <t>423.00</t>
  </si>
  <si>
    <t>385.00</t>
  </si>
  <si>
    <t>530.00</t>
  </si>
  <si>
    <t>415.00</t>
  </si>
  <si>
    <t>371.00</t>
  </si>
  <si>
    <t>555.00</t>
  </si>
  <si>
    <t>301.00</t>
  </si>
  <si>
    <t>525.00</t>
  </si>
  <si>
    <t>444.00</t>
  </si>
  <si>
    <t>421.00</t>
  </si>
  <si>
    <t>276.00</t>
  </si>
  <si>
    <t>460.00</t>
  </si>
  <si>
    <t>420.00</t>
  </si>
  <si>
    <t>335.00</t>
  </si>
  <si>
    <t>364.00</t>
  </si>
  <si>
    <t>584.00</t>
  </si>
  <si>
    <t>659.00</t>
  </si>
  <si>
    <t>560.00</t>
  </si>
  <si>
    <t>720.00</t>
  </si>
  <si>
    <t>478.00</t>
  </si>
  <si>
    <t>626.00</t>
  </si>
  <si>
    <t>578.00</t>
  </si>
  <si>
    <t>753.00</t>
  </si>
  <si>
    <t>632.00</t>
  </si>
  <si>
    <t>459.00</t>
  </si>
  <si>
    <t>494.00</t>
  </si>
  <si>
    <t>714.00</t>
  </si>
  <si>
    <t>595.00</t>
  </si>
  <si>
    <t>656.00</t>
  </si>
  <si>
    <t>715.00</t>
  </si>
  <si>
    <t>471.00</t>
  </si>
  <si>
    <t>489.00</t>
  </si>
  <si>
    <t>625.00</t>
  </si>
  <si>
    <t>448.00</t>
  </si>
  <si>
    <t>481.00</t>
  </si>
  <si>
    <t>450.00</t>
  </si>
  <si>
    <t>665.00</t>
  </si>
  <si>
    <t>719.00</t>
  </si>
  <si>
    <t>657.00</t>
  </si>
  <si>
    <t>533.00</t>
  </si>
  <si>
    <t>452.00</t>
  </si>
  <si>
    <t>493.00</t>
  </si>
  <si>
    <t>484.00</t>
  </si>
  <si>
    <t>534.00</t>
  </si>
  <si>
    <t>449.00</t>
  </si>
  <si>
    <t>577.00</t>
  </si>
  <si>
    <t>629.00</t>
  </si>
  <si>
    <t>589.00</t>
  </si>
  <si>
    <t>551.00</t>
  </si>
  <si>
    <t>599.00</t>
  </si>
  <si>
    <t>653.00</t>
  </si>
  <si>
    <t>602.00</t>
  </si>
  <si>
    <t>641.00</t>
  </si>
  <si>
    <t>575.00</t>
  </si>
  <si>
    <t>469.00</t>
  </si>
  <si>
    <t>567.00</t>
  </si>
  <si>
    <t>716.00</t>
  </si>
  <si>
    <t>662.00</t>
  </si>
  <si>
    <t>470.00</t>
  </si>
  <si>
    <t>456.00</t>
  </si>
  <si>
    <t>569.00</t>
  </si>
  <si>
    <t>565.00</t>
  </si>
  <si>
    <t>736.00</t>
  </si>
  <si>
    <t>474.00</t>
  </si>
  <si>
    <t>499.00</t>
  </si>
  <si>
    <t>723.00</t>
  </si>
  <si>
    <t>594.00</t>
  </si>
  <si>
    <t>738.00</t>
  </si>
  <si>
    <t>506.00</t>
  </si>
  <si>
    <t>541.00</t>
  </si>
  <si>
    <t>464.00</t>
  </si>
  <si>
    <t>655.00</t>
  </si>
  <si>
    <t>473.00</t>
  </si>
  <si>
    <t>407.00</t>
  </si>
  <si>
    <t>563.00</t>
  </si>
  <si>
    <t>455.00</t>
  </si>
  <si>
    <t>495.00</t>
  </si>
  <si>
    <t>649.00</t>
  </si>
  <si>
    <t>654.00</t>
  </si>
  <si>
    <t>636.00</t>
  </si>
  <si>
    <t>505.00</t>
  </si>
  <si>
    <t>536.00</t>
  </si>
  <si>
    <t>377.00</t>
  </si>
  <si>
    <t>472.00</t>
  </si>
  <si>
    <t>510.00</t>
  </si>
  <si>
    <t>557.00</t>
  </si>
  <si>
    <t>587.00</t>
  </si>
  <si>
    <t>807.00</t>
  </si>
  <si>
    <t>485.00</t>
  </si>
  <si>
    <t>480.00</t>
  </si>
  <si>
    <t>454.00</t>
  </si>
  <si>
    <t>728.00</t>
  </si>
  <si>
    <t>600.00</t>
  </si>
  <si>
    <t>726.00</t>
  </si>
  <si>
    <t>661.00</t>
  </si>
  <si>
    <t>467.00</t>
  </si>
  <si>
    <t>733.00</t>
  </si>
  <si>
    <t>562.00</t>
  </si>
  <si>
    <t>717.00</t>
  </si>
  <si>
    <t>503.00</t>
  </si>
  <si>
    <t>540.00</t>
  </si>
  <si>
    <t>482.00</t>
  </si>
  <si>
    <t>746.00</t>
  </si>
  <si>
    <t>538.00</t>
  </si>
  <si>
    <t>1075.00</t>
  </si>
  <si>
    <t>580.00</t>
  </si>
  <si>
    <t>395.00</t>
  </si>
  <si>
    <t>646.00</t>
  </si>
  <si>
    <t>749.00</t>
  </si>
  <si>
    <t>570.00</t>
  </si>
  <si>
    <t>935.00</t>
  </si>
  <si>
    <t>743.00</t>
  </si>
  <si>
    <t>805.00</t>
  </si>
  <si>
    <t>564.00</t>
  </si>
  <si>
    <t>819.00</t>
  </si>
  <si>
    <t>572.00</t>
  </si>
  <si>
    <t>446.00</t>
  </si>
  <si>
    <t>647.00</t>
  </si>
  <si>
    <t>381.00</t>
  </si>
  <si>
    <t>652.00</t>
  </si>
  <si>
    <t>Departure time (round)</t>
  </si>
  <si>
    <t>Control min</t>
  </si>
  <si>
    <t>Control max</t>
  </si>
  <si>
    <t>Test min</t>
  </si>
  <si>
    <t>Test max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</si>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</sst>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</cx:chartData>
  <cx:chart>
    <cx:title pos="t" align="ctr" overlay="0">
      <cx:tx>
        <cx:txData>
          <cx:v>Control Vs. Test Route Durations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Control Vs. Test Route Durations</a:t>
          </a:r>
        </a:p>
      </cx:txPr>
    </cx:title>
    <cx:plotArea>
      <cx:plotAreaRegion>
        <cx:series layoutId="boxWhisker" uniqueId="{EBAB045E-C427-A24E-993A-556686F0EC6B}">
          <cx:tx>
            <cx:txData>
              <cx:f>_xlchart.v1.36</cx:f>
              <cx:v>Control time</cx:v>
            </cx:txData>
          </cx:tx>
          <cx:dataLabels pos="l">
            <cx:visibility seriesName="0" categoryName="0" value="1"/>
            <cx:separator>, </cx:separator>
            <cx:dataLabelHidden idx="287"/>
            <cx:dataLabelHidden idx="291"/>
            <cx:dataLabelHidden idx="296"/>
            <cx:dataLabelHidden idx="297"/>
            <cx:dataLabelHidden idx="298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AA4544B1-0D19-3F4D-B913-D969EB57BC4D}">
          <cx:tx>
            <cx:txData>
              <cx:f>_xlchart.v1.38</cx:f>
              <cx:v>Test time</cx:v>
            </cx:txData>
          </cx:tx>
          <cx:dataLabels pos="l">
            <cx:visibility seriesName="0" categoryName="0" value="1"/>
            <cx:separator>, </cx:separator>
            <cx:dataLabelHidden idx="298"/>
          </cx:dataLabels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.10000002"/>
        <cx:tickLabels/>
      </cx:axis>
      <cx:axis id="1">
        <cx:valScaling/>
        <cx:title>
          <cx:tx>
            <cx:txData>
              <cx:v>Route duration (seconds)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Route duration (seconds)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13</xdr:row>
      <xdr:rowOff>190500</xdr:rowOff>
    </xdr:from>
    <xdr:to>
      <xdr:col>14</xdr:col>
      <xdr:colOff>584200</xdr:colOff>
      <xdr:row>36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143EE76-59D3-EFBB-05FD-A961F067BA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950" y="2832100"/>
              <a:ext cx="5822950" cy="452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44C4B5-1BF6-5741-8944-7A06A0817A34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ttribute:id" tableColumnId="2"/>
      <queryTableField id="3" name="Attribute:depart" tableColumnId="3"/>
      <queryTableField id="4" name="Attribute:durat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31D6A3-7909-1749-B422-D2DA29A28BFA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ttribute:id" tableColumnId="2"/>
      <queryTableField id="3" name="Attribute:depart" tableColumnId="3"/>
      <queryTableField id="4" name="Attribute:duration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43E0FF-2CAC-5E4F-9BBB-E3ABDC5674DA}" name="tripinfo__3" displayName="tripinfo__3" ref="A1:B25" totalsRowShown="0">
  <autoFilter ref="A1:B25" xr:uid="{BE43E0FF-2CAC-5E4F-9BBB-E3ABDC5674DA}"/>
  <tableColumns count="2">
    <tableColumn id="1" xr3:uid="{43B0DFB0-BF0D-B64F-8BD7-0B32D2478F38}" name="Attribute:depart"/>
    <tableColumn id="2" xr3:uid="{10908788-F331-2E4E-BEC2-36C73E576FC5}" name="Attribute:durati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36ED48-191A-7B48-B7C4-DCD914CF8036}" name="tripinfo" displayName="tripinfo" ref="A1:B31" totalsRowShown="0">
  <autoFilter ref="A1:B31" xr:uid="{0536ED48-191A-7B48-B7C4-DCD914CF8036}"/>
  <tableColumns count="2">
    <tableColumn id="1" xr3:uid="{9F7AF029-4E50-F44F-B3E6-5CB4A538E580}" name="Attribute:depart"/>
    <tableColumn id="2" xr3:uid="{363F0F4C-A9E8-EF4A-8996-63D9DA31ABAF}" name="Attribute:duratio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C7A5E7F-6B7F-C04A-BD23-13F8F15DC0CF}" name="Query__2" displayName="Query__2" ref="A1:D241" tableType="queryTable" totalsRowShown="0">
  <autoFilter ref="A1:D241" xr:uid="{0C7A5E7F-6B7F-C04A-BD23-13F8F15DC0CF}"/>
  <tableColumns count="4">
    <tableColumn id="1" xr3:uid="{98395C79-35D2-F845-8B34-06BD66188428}" uniqueName="1" name="Name" queryTableFieldId="1"/>
    <tableColumn id="2" xr3:uid="{22201A28-228D-7B4C-9774-DF37ED134AD3}" uniqueName="2" name="Attribute:id" queryTableFieldId="2"/>
    <tableColumn id="3" xr3:uid="{6DC6371D-43AC-D740-BDDD-CFE56807AAB1}" uniqueName="3" name="Attribute:depart" queryTableFieldId="3"/>
    <tableColumn id="4" xr3:uid="{1A12B0C0-7596-3A45-BBE8-0A68AC6A7167}" uniqueName="4" name="Attribute:duratio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AEDD9C6-00A3-154F-B6F6-DF3653D6FB98}" name="Query" displayName="Query" ref="A1:D241" tableType="queryTable" totalsRowShown="0">
  <autoFilter ref="A1:D241" xr:uid="{9AEDD9C6-00A3-154F-B6F6-DF3653D6FB98}"/>
  <tableColumns count="4">
    <tableColumn id="1" xr3:uid="{930213E7-D916-3F46-A651-E1031AEE1788}" uniqueName="1" name="Name" queryTableFieldId="1"/>
    <tableColumn id="2" xr3:uid="{EEB1931F-53A3-3D41-BEFC-9B816087C580}" uniqueName="2" name="Attribute:id" queryTableFieldId="2"/>
    <tableColumn id="3" xr3:uid="{A94AAAAE-74CD-E644-89B9-AE742516E994}" uniqueName="3" name="Attribute:depart" queryTableFieldId="3"/>
    <tableColumn id="4" xr3:uid="{3492D581-B58F-1742-BF74-E3D8E80B2BDD}" uniqueName="4" name="Attribute:duration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D16F9DC-FB67-A94F-99CC-1F0958B7D2CE}" name="Table22" displayName="Table22" ref="B2:G302" totalsRowShown="0">
  <autoFilter ref="B2:G302" xr:uid="{ED16F9DC-FB67-A94F-99CC-1F0958B7D2CE}"/>
  <tableColumns count="6">
    <tableColumn id="1" xr3:uid="{4DC9EEF9-E520-D644-8A37-B67B626FE18B}" name="Trial #"/>
    <tableColumn id="2" xr3:uid="{E0460C4F-8EF8-8846-8602-7E4FB7FF77F8}" name="Seed"/>
    <tableColumn id="3" xr3:uid="{3013A9E5-3EA8-0B43-ADEF-3553F8EF4DD1}" name="Departure time"/>
    <tableColumn id="4" xr3:uid="{D333E30F-61AC-674D-9B17-FC494BED6EC5}" name="Control time"/>
    <tableColumn id="5" xr3:uid="{43BE69A5-5B8F-994D-91CF-4768E953B8B7}" name="Test time"/>
    <tableColumn id="6" xr3:uid="{247CA0F2-E4BA-6F40-B906-92A91F98CF7F}" name="Departure time (round)" dataDxfId="0">
      <calculatedColumnFormula>IF(D3&lt;=540,60,IF(D3&lt;=2070,1020,3120))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5BCE1BC-18FB-E642-85B8-FDA831505F0E}" name="Table25" displayName="Table25" ref="I2:J12" totalsRowShown="0">
  <autoFilter ref="I2:J12" xr:uid="{E5BCE1BC-18FB-E642-85B8-FDA831505F0E}"/>
  <tableColumns count="2">
    <tableColumn id="1" xr3:uid="{D95B6C50-6393-9249-A460-58020851ADA8}" name="Statistic"/>
    <tableColumn id="2" xr3:uid="{4B19E4BC-8B77-3741-858E-95ABE1D69B6C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B638-2471-1A46-8A95-22761388C64E}">
  <dimension ref="A1:B25"/>
  <sheetViews>
    <sheetView workbookViewId="0">
      <selection activeCell="A2" sqref="A2:B25"/>
    </sheetView>
  </sheetViews>
  <sheetFormatPr baseColWidth="10" defaultRowHeight="16" x14ac:dyDescent="0.2"/>
  <cols>
    <col min="1" max="1" width="16.83203125" bestFit="1" customWidth="1"/>
    <col min="2" max="2" width="18.33203125" bestFit="1" customWidth="1"/>
  </cols>
  <sheetData>
    <row r="1" spans="1:2" x14ac:dyDescent="0.2">
      <c r="A1" t="s">
        <v>11</v>
      </c>
      <c r="B1" t="s">
        <v>12</v>
      </c>
    </row>
    <row r="2" spans="1:2" x14ac:dyDescent="0.2">
      <c r="A2">
        <v>60</v>
      </c>
      <c r="B2">
        <v>363</v>
      </c>
    </row>
    <row r="3" spans="1:2" x14ac:dyDescent="0.2">
      <c r="A3">
        <v>1020</v>
      </c>
      <c r="B3">
        <v>419</v>
      </c>
    </row>
    <row r="4" spans="1:2" x14ac:dyDescent="0.2">
      <c r="A4">
        <v>3120</v>
      </c>
      <c r="B4">
        <v>403</v>
      </c>
    </row>
    <row r="5" spans="1:2" x14ac:dyDescent="0.2">
      <c r="A5">
        <v>60</v>
      </c>
      <c r="B5">
        <v>301</v>
      </c>
    </row>
    <row r="6" spans="1:2" x14ac:dyDescent="0.2">
      <c r="A6">
        <v>1020</v>
      </c>
      <c r="B6">
        <v>382</v>
      </c>
    </row>
    <row r="7" spans="1:2" x14ac:dyDescent="0.2">
      <c r="A7">
        <v>3120</v>
      </c>
      <c r="B7">
        <v>589</v>
      </c>
    </row>
    <row r="8" spans="1:2" x14ac:dyDescent="0.2">
      <c r="A8">
        <v>60</v>
      </c>
      <c r="B8">
        <v>330</v>
      </c>
    </row>
    <row r="9" spans="1:2" x14ac:dyDescent="0.2">
      <c r="A9">
        <v>1020</v>
      </c>
      <c r="B9">
        <v>348</v>
      </c>
    </row>
    <row r="10" spans="1:2" x14ac:dyDescent="0.2">
      <c r="A10">
        <v>3120</v>
      </c>
      <c r="B10">
        <v>459</v>
      </c>
    </row>
    <row r="11" spans="1:2" x14ac:dyDescent="0.2">
      <c r="A11">
        <v>60</v>
      </c>
      <c r="B11">
        <v>307</v>
      </c>
    </row>
    <row r="12" spans="1:2" x14ac:dyDescent="0.2">
      <c r="A12">
        <v>1022</v>
      </c>
      <c r="B12">
        <v>399</v>
      </c>
    </row>
    <row r="13" spans="1:2" x14ac:dyDescent="0.2">
      <c r="A13">
        <v>3120</v>
      </c>
      <c r="B13">
        <v>527</v>
      </c>
    </row>
    <row r="14" spans="1:2" x14ac:dyDescent="0.2">
      <c r="A14">
        <v>60</v>
      </c>
      <c r="B14">
        <v>353</v>
      </c>
    </row>
    <row r="15" spans="1:2" x14ac:dyDescent="0.2">
      <c r="A15">
        <v>1020</v>
      </c>
      <c r="B15">
        <v>368</v>
      </c>
    </row>
    <row r="16" spans="1:2" x14ac:dyDescent="0.2">
      <c r="A16">
        <v>3120</v>
      </c>
      <c r="B16">
        <v>371</v>
      </c>
    </row>
    <row r="17" spans="1:2" x14ac:dyDescent="0.2">
      <c r="A17">
        <v>60</v>
      </c>
      <c r="B17">
        <v>365</v>
      </c>
    </row>
    <row r="18" spans="1:2" x14ac:dyDescent="0.2">
      <c r="A18">
        <v>1024</v>
      </c>
      <c r="B18">
        <v>358</v>
      </c>
    </row>
    <row r="19" spans="1:2" x14ac:dyDescent="0.2">
      <c r="A19">
        <v>3120</v>
      </c>
      <c r="B19">
        <v>415</v>
      </c>
    </row>
    <row r="20" spans="1:2" x14ac:dyDescent="0.2">
      <c r="A20">
        <v>60</v>
      </c>
      <c r="B20">
        <v>358</v>
      </c>
    </row>
    <row r="21" spans="1:2" x14ac:dyDescent="0.2">
      <c r="A21">
        <v>1022</v>
      </c>
      <c r="B21">
        <v>395</v>
      </c>
    </row>
    <row r="22" spans="1:2" x14ac:dyDescent="0.2">
      <c r="A22">
        <v>3120</v>
      </c>
      <c r="B22">
        <v>432</v>
      </c>
    </row>
    <row r="23" spans="1:2" x14ac:dyDescent="0.2">
      <c r="A23">
        <v>60</v>
      </c>
      <c r="B23">
        <v>306</v>
      </c>
    </row>
    <row r="24" spans="1:2" x14ac:dyDescent="0.2">
      <c r="A24">
        <v>1020</v>
      </c>
      <c r="B24">
        <v>471</v>
      </c>
    </row>
    <row r="25" spans="1:2" x14ac:dyDescent="0.2">
      <c r="A25">
        <v>3120</v>
      </c>
      <c r="B25">
        <v>489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FC51-B141-CF4E-A5C4-C806335CAF79}">
  <dimension ref="A1:B31"/>
  <sheetViews>
    <sheetView workbookViewId="0">
      <selection activeCell="B2" sqref="B2:B31"/>
    </sheetView>
  </sheetViews>
  <sheetFormatPr baseColWidth="10" defaultRowHeight="16" x14ac:dyDescent="0.2"/>
  <cols>
    <col min="1" max="1" width="16.83203125" bestFit="1" customWidth="1"/>
    <col min="2" max="2" width="18.33203125" bestFit="1" customWidth="1"/>
  </cols>
  <sheetData>
    <row r="1" spans="1:2" x14ac:dyDescent="0.2">
      <c r="A1" t="s">
        <v>11</v>
      </c>
      <c r="B1" t="s">
        <v>12</v>
      </c>
    </row>
    <row r="2" spans="1:2" x14ac:dyDescent="0.2">
      <c r="A2">
        <v>60</v>
      </c>
      <c r="B2">
        <v>392</v>
      </c>
    </row>
    <row r="3" spans="1:2" x14ac:dyDescent="0.2">
      <c r="A3">
        <v>1020</v>
      </c>
      <c r="B3">
        <v>484</v>
      </c>
    </row>
    <row r="4" spans="1:2" x14ac:dyDescent="0.2">
      <c r="A4">
        <v>3120</v>
      </c>
      <c r="B4">
        <v>535</v>
      </c>
    </row>
    <row r="5" spans="1:2" x14ac:dyDescent="0.2">
      <c r="A5">
        <v>60</v>
      </c>
      <c r="B5">
        <v>486</v>
      </c>
    </row>
    <row r="6" spans="1:2" x14ac:dyDescent="0.2">
      <c r="A6">
        <v>1022</v>
      </c>
      <c r="B6">
        <v>419</v>
      </c>
    </row>
    <row r="7" spans="1:2" x14ac:dyDescent="0.2">
      <c r="A7">
        <v>3120</v>
      </c>
      <c r="B7">
        <v>715</v>
      </c>
    </row>
    <row r="8" spans="1:2" x14ac:dyDescent="0.2">
      <c r="A8">
        <v>60</v>
      </c>
      <c r="B8">
        <v>469</v>
      </c>
    </row>
    <row r="9" spans="1:2" x14ac:dyDescent="0.2">
      <c r="A9">
        <v>1020</v>
      </c>
      <c r="B9">
        <v>605</v>
      </c>
    </row>
    <row r="10" spans="1:2" x14ac:dyDescent="0.2">
      <c r="A10">
        <v>3120</v>
      </c>
      <c r="B10">
        <v>552</v>
      </c>
    </row>
    <row r="11" spans="1:2" x14ac:dyDescent="0.2">
      <c r="A11">
        <v>60</v>
      </c>
      <c r="B11">
        <v>461</v>
      </c>
    </row>
    <row r="12" spans="1:2" x14ac:dyDescent="0.2">
      <c r="A12">
        <v>1020</v>
      </c>
      <c r="B12">
        <v>476</v>
      </c>
    </row>
    <row r="13" spans="1:2" x14ac:dyDescent="0.2">
      <c r="A13">
        <v>3120</v>
      </c>
      <c r="B13">
        <v>625</v>
      </c>
    </row>
    <row r="14" spans="1:2" x14ac:dyDescent="0.2">
      <c r="A14">
        <v>60</v>
      </c>
      <c r="B14">
        <v>450</v>
      </c>
    </row>
    <row r="15" spans="1:2" x14ac:dyDescent="0.2">
      <c r="A15">
        <v>1020</v>
      </c>
      <c r="B15">
        <v>483</v>
      </c>
    </row>
    <row r="16" spans="1:2" x14ac:dyDescent="0.2">
      <c r="A16">
        <v>3120</v>
      </c>
      <c r="B16">
        <v>538</v>
      </c>
    </row>
    <row r="17" spans="1:2" x14ac:dyDescent="0.2">
      <c r="A17">
        <v>60</v>
      </c>
      <c r="B17">
        <v>480</v>
      </c>
    </row>
    <row r="18" spans="1:2" x14ac:dyDescent="0.2">
      <c r="A18">
        <v>1021</v>
      </c>
      <c r="B18">
        <v>494</v>
      </c>
    </row>
    <row r="19" spans="1:2" x14ac:dyDescent="0.2">
      <c r="A19">
        <v>3122</v>
      </c>
      <c r="B19">
        <v>623</v>
      </c>
    </row>
    <row r="20" spans="1:2" x14ac:dyDescent="0.2">
      <c r="A20">
        <v>60</v>
      </c>
      <c r="B20">
        <v>454</v>
      </c>
    </row>
    <row r="21" spans="1:2" x14ac:dyDescent="0.2">
      <c r="A21">
        <v>1020</v>
      </c>
      <c r="B21">
        <v>576</v>
      </c>
    </row>
    <row r="22" spans="1:2" x14ac:dyDescent="0.2">
      <c r="A22">
        <v>3120</v>
      </c>
      <c r="B22">
        <v>726</v>
      </c>
    </row>
    <row r="23" spans="1:2" x14ac:dyDescent="0.2">
      <c r="A23">
        <v>60</v>
      </c>
      <c r="B23">
        <v>461</v>
      </c>
    </row>
    <row r="24" spans="1:2" x14ac:dyDescent="0.2">
      <c r="A24">
        <v>1021</v>
      </c>
      <c r="B24">
        <v>403</v>
      </c>
    </row>
    <row r="25" spans="1:2" x14ac:dyDescent="0.2">
      <c r="A25">
        <v>3120</v>
      </c>
      <c r="B25">
        <v>625</v>
      </c>
    </row>
    <row r="26" spans="1:2" x14ac:dyDescent="0.2">
      <c r="A26">
        <v>60</v>
      </c>
      <c r="B26">
        <v>450</v>
      </c>
    </row>
    <row r="27" spans="1:2" x14ac:dyDescent="0.2">
      <c r="A27">
        <v>1021</v>
      </c>
      <c r="B27">
        <v>513</v>
      </c>
    </row>
    <row r="28" spans="1:2" x14ac:dyDescent="0.2">
      <c r="A28">
        <v>3120</v>
      </c>
      <c r="B28">
        <v>577</v>
      </c>
    </row>
    <row r="29" spans="1:2" x14ac:dyDescent="0.2">
      <c r="A29">
        <v>60</v>
      </c>
      <c r="B29">
        <v>537</v>
      </c>
    </row>
    <row r="30" spans="1:2" x14ac:dyDescent="0.2">
      <c r="A30">
        <v>1020</v>
      </c>
      <c r="B30">
        <v>572</v>
      </c>
    </row>
    <row r="31" spans="1:2" x14ac:dyDescent="0.2">
      <c r="A31">
        <v>3120</v>
      </c>
      <c r="B31">
        <v>626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8F29-4FBA-8841-B816-7D9499EDB663}">
  <dimension ref="A1:D241"/>
  <sheetViews>
    <sheetView workbookViewId="0">
      <selection activeCell="D2" sqref="D2:D241"/>
    </sheetView>
  </sheetViews>
  <sheetFormatPr baseColWidth="10" defaultRowHeight="16" x14ac:dyDescent="0.2"/>
  <cols>
    <col min="1" max="1" width="8.6640625" bestFit="1" customWidth="1"/>
    <col min="2" max="2" width="13" bestFit="1" customWidth="1"/>
    <col min="3" max="3" width="16.83203125" bestFit="1" customWidth="1"/>
    <col min="4" max="4" width="18.33203125" bestFit="1" customWidth="1"/>
  </cols>
  <sheetData>
    <row r="1" spans="1:4" x14ac:dyDescent="0.2">
      <c r="A1" t="s">
        <v>18</v>
      </c>
      <c r="B1" t="s">
        <v>10</v>
      </c>
      <c r="C1" t="s">
        <v>11</v>
      </c>
      <c r="D1" t="s">
        <v>12</v>
      </c>
    </row>
    <row r="2" spans="1:4" x14ac:dyDescent="0.2">
      <c r="A2">
        <v>81612</v>
      </c>
      <c r="B2" t="s">
        <v>13</v>
      </c>
      <c r="C2" t="s">
        <v>19</v>
      </c>
      <c r="D2" t="s">
        <v>77</v>
      </c>
    </row>
    <row r="3" spans="1:4" x14ac:dyDescent="0.2">
      <c r="A3">
        <v>81612</v>
      </c>
      <c r="B3" t="s">
        <v>14</v>
      </c>
      <c r="C3" t="s">
        <v>30</v>
      </c>
      <c r="D3" t="s">
        <v>61</v>
      </c>
    </row>
    <row r="4" spans="1:4" x14ac:dyDescent="0.2">
      <c r="A4">
        <v>81612</v>
      </c>
      <c r="B4" t="s">
        <v>15</v>
      </c>
      <c r="C4" t="s">
        <v>27</v>
      </c>
      <c r="D4" t="s">
        <v>187</v>
      </c>
    </row>
    <row r="5" spans="1:4" x14ac:dyDescent="0.2">
      <c r="A5">
        <v>71488</v>
      </c>
      <c r="B5" t="s">
        <v>13</v>
      </c>
      <c r="C5" t="s">
        <v>19</v>
      </c>
      <c r="D5" t="s">
        <v>55</v>
      </c>
    </row>
    <row r="6" spans="1:4" x14ac:dyDescent="0.2">
      <c r="A6">
        <v>71488</v>
      </c>
      <c r="B6" t="s">
        <v>14</v>
      </c>
      <c r="C6" t="s">
        <v>44</v>
      </c>
      <c r="D6" t="s">
        <v>188</v>
      </c>
    </row>
    <row r="7" spans="1:4" x14ac:dyDescent="0.2">
      <c r="A7">
        <v>71488</v>
      </c>
      <c r="B7" t="s">
        <v>15</v>
      </c>
      <c r="C7" t="s">
        <v>27</v>
      </c>
      <c r="D7" t="s">
        <v>189</v>
      </c>
    </row>
    <row r="8" spans="1:4" x14ac:dyDescent="0.2">
      <c r="A8">
        <v>49915</v>
      </c>
      <c r="B8" t="s">
        <v>13</v>
      </c>
      <c r="C8" t="s">
        <v>19</v>
      </c>
      <c r="D8" t="s">
        <v>190</v>
      </c>
    </row>
    <row r="9" spans="1:4" x14ac:dyDescent="0.2">
      <c r="A9">
        <v>49915</v>
      </c>
      <c r="B9" t="s">
        <v>14</v>
      </c>
      <c r="C9" t="s">
        <v>30</v>
      </c>
      <c r="D9" t="s">
        <v>50</v>
      </c>
    </row>
    <row r="10" spans="1:4" x14ac:dyDescent="0.2">
      <c r="A10">
        <v>49915</v>
      </c>
      <c r="B10" t="s">
        <v>15</v>
      </c>
      <c r="C10" t="s">
        <v>27</v>
      </c>
      <c r="D10" t="s">
        <v>191</v>
      </c>
    </row>
    <row r="11" spans="1:4" x14ac:dyDescent="0.2">
      <c r="A11">
        <v>19051</v>
      </c>
      <c r="B11" t="s">
        <v>13</v>
      </c>
      <c r="C11" t="s">
        <v>19</v>
      </c>
      <c r="D11" t="s">
        <v>170</v>
      </c>
    </row>
    <row r="12" spans="1:4" x14ac:dyDescent="0.2">
      <c r="A12">
        <v>19051</v>
      </c>
      <c r="B12" t="s">
        <v>14</v>
      </c>
      <c r="C12" t="s">
        <v>30</v>
      </c>
      <c r="D12" t="s">
        <v>192</v>
      </c>
    </row>
    <row r="13" spans="1:4" x14ac:dyDescent="0.2">
      <c r="A13">
        <v>19051</v>
      </c>
      <c r="B13" t="s">
        <v>15</v>
      </c>
      <c r="C13" t="s">
        <v>27</v>
      </c>
      <c r="D13" t="s">
        <v>193</v>
      </c>
    </row>
    <row r="14" spans="1:4" x14ac:dyDescent="0.2">
      <c r="A14">
        <v>21591</v>
      </c>
      <c r="B14" t="s">
        <v>13</v>
      </c>
      <c r="C14" t="s">
        <v>19</v>
      </c>
      <c r="D14" t="s">
        <v>170</v>
      </c>
    </row>
    <row r="15" spans="1:4" x14ac:dyDescent="0.2">
      <c r="A15">
        <v>21591</v>
      </c>
      <c r="B15" t="s">
        <v>14</v>
      </c>
      <c r="C15" t="s">
        <v>124</v>
      </c>
      <c r="D15" t="s">
        <v>129</v>
      </c>
    </row>
    <row r="16" spans="1:4" x14ac:dyDescent="0.2">
      <c r="A16">
        <v>21591</v>
      </c>
      <c r="B16" t="s">
        <v>15</v>
      </c>
      <c r="C16" t="s">
        <v>27</v>
      </c>
      <c r="D16" t="s">
        <v>194</v>
      </c>
    </row>
    <row r="17" spans="1:4" x14ac:dyDescent="0.2">
      <c r="A17">
        <v>1840</v>
      </c>
      <c r="B17" t="s">
        <v>13</v>
      </c>
      <c r="C17" t="s">
        <v>19</v>
      </c>
      <c r="D17" t="s">
        <v>195</v>
      </c>
    </row>
    <row r="18" spans="1:4" x14ac:dyDescent="0.2">
      <c r="A18">
        <v>1840</v>
      </c>
      <c r="B18" t="s">
        <v>14</v>
      </c>
      <c r="C18" t="s">
        <v>21</v>
      </c>
      <c r="D18" t="s">
        <v>196</v>
      </c>
    </row>
    <row r="19" spans="1:4" x14ac:dyDescent="0.2">
      <c r="A19">
        <v>1840</v>
      </c>
      <c r="B19" t="s">
        <v>15</v>
      </c>
      <c r="C19" t="s">
        <v>83</v>
      </c>
      <c r="D19" t="s">
        <v>197</v>
      </c>
    </row>
    <row r="20" spans="1:4" x14ac:dyDescent="0.2">
      <c r="A20">
        <v>5917</v>
      </c>
      <c r="B20" t="s">
        <v>13</v>
      </c>
      <c r="C20" t="s">
        <v>19</v>
      </c>
      <c r="D20" t="s">
        <v>54</v>
      </c>
    </row>
    <row r="21" spans="1:4" x14ac:dyDescent="0.2">
      <c r="A21">
        <v>5917</v>
      </c>
      <c r="B21" t="s">
        <v>14</v>
      </c>
      <c r="C21" t="s">
        <v>30</v>
      </c>
      <c r="D21" t="s">
        <v>198</v>
      </c>
    </row>
    <row r="22" spans="1:4" x14ac:dyDescent="0.2">
      <c r="A22">
        <v>5917</v>
      </c>
      <c r="B22" t="s">
        <v>15</v>
      </c>
      <c r="C22" t="s">
        <v>27</v>
      </c>
      <c r="D22" t="s">
        <v>55</v>
      </c>
    </row>
    <row r="23" spans="1:4" x14ac:dyDescent="0.2">
      <c r="A23">
        <v>77965</v>
      </c>
      <c r="B23" t="s">
        <v>13</v>
      </c>
      <c r="C23" t="s">
        <v>19</v>
      </c>
      <c r="D23" t="s">
        <v>80</v>
      </c>
    </row>
    <row r="24" spans="1:4" x14ac:dyDescent="0.2">
      <c r="A24">
        <v>77965</v>
      </c>
      <c r="B24" t="s">
        <v>14</v>
      </c>
      <c r="C24" t="s">
        <v>30</v>
      </c>
      <c r="D24" t="s">
        <v>199</v>
      </c>
    </row>
    <row r="25" spans="1:4" x14ac:dyDescent="0.2">
      <c r="A25">
        <v>77965</v>
      </c>
      <c r="B25" t="s">
        <v>15</v>
      </c>
      <c r="C25" t="s">
        <v>27</v>
      </c>
      <c r="D25" t="s">
        <v>200</v>
      </c>
    </row>
    <row r="26" spans="1:4" x14ac:dyDescent="0.2">
      <c r="A26">
        <v>69188</v>
      </c>
      <c r="B26" t="s">
        <v>13</v>
      </c>
      <c r="C26" t="s">
        <v>19</v>
      </c>
      <c r="D26" t="s">
        <v>201</v>
      </c>
    </row>
    <row r="27" spans="1:4" x14ac:dyDescent="0.2">
      <c r="A27">
        <v>69188</v>
      </c>
      <c r="B27" t="s">
        <v>14</v>
      </c>
      <c r="C27" t="s">
        <v>30</v>
      </c>
      <c r="D27" t="s">
        <v>202</v>
      </c>
    </row>
    <row r="28" spans="1:4" x14ac:dyDescent="0.2">
      <c r="A28">
        <v>69188</v>
      </c>
      <c r="B28" t="s">
        <v>15</v>
      </c>
      <c r="C28" t="s">
        <v>27</v>
      </c>
      <c r="D28" t="s">
        <v>203</v>
      </c>
    </row>
    <row r="29" spans="1:4" x14ac:dyDescent="0.2">
      <c r="A29">
        <v>17290</v>
      </c>
      <c r="B29" t="s">
        <v>13</v>
      </c>
      <c r="C29" t="s">
        <v>19</v>
      </c>
      <c r="D29" t="s">
        <v>204</v>
      </c>
    </row>
    <row r="30" spans="1:4" x14ac:dyDescent="0.2">
      <c r="A30">
        <v>17290</v>
      </c>
      <c r="B30" t="s">
        <v>14</v>
      </c>
      <c r="C30" t="s">
        <v>30</v>
      </c>
      <c r="D30" t="s">
        <v>205</v>
      </c>
    </row>
    <row r="31" spans="1:4" x14ac:dyDescent="0.2">
      <c r="A31">
        <v>17290</v>
      </c>
      <c r="B31" t="s">
        <v>15</v>
      </c>
      <c r="C31" t="s">
        <v>27</v>
      </c>
      <c r="D31" t="s">
        <v>203</v>
      </c>
    </row>
    <row r="32" spans="1:4" x14ac:dyDescent="0.2">
      <c r="A32">
        <v>17214</v>
      </c>
      <c r="B32" t="s">
        <v>13</v>
      </c>
      <c r="C32" t="s">
        <v>19</v>
      </c>
      <c r="D32" t="s">
        <v>206</v>
      </c>
    </row>
    <row r="33" spans="1:4" x14ac:dyDescent="0.2">
      <c r="A33">
        <v>17214</v>
      </c>
      <c r="B33" t="s">
        <v>14</v>
      </c>
      <c r="C33" t="s">
        <v>48</v>
      </c>
      <c r="D33" t="s">
        <v>207</v>
      </c>
    </row>
    <row r="34" spans="1:4" x14ac:dyDescent="0.2">
      <c r="A34">
        <v>17214</v>
      </c>
      <c r="B34" t="s">
        <v>15</v>
      </c>
      <c r="C34" t="s">
        <v>27</v>
      </c>
      <c r="D34" t="s">
        <v>208</v>
      </c>
    </row>
    <row r="35" spans="1:4" x14ac:dyDescent="0.2">
      <c r="A35">
        <v>36379</v>
      </c>
      <c r="B35" t="s">
        <v>13</v>
      </c>
      <c r="C35" t="s">
        <v>19</v>
      </c>
      <c r="D35" t="s">
        <v>74</v>
      </c>
    </row>
    <row r="36" spans="1:4" x14ac:dyDescent="0.2">
      <c r="A36">
        <v>36379</v>
      </c>
      <c r="B36" t="s">
        <v>14</v>
      </c>
      <c r="C36" t="s">
        <v>30</v>
      </c>
      <c r="D36" t="s">
        <v>209</v>
      </c>
    </row>
    <row r="37" spans="1:4" x14ac:dyDescent="0.2">
      <c r="A37">
        <v>36379</v>
      </c>
      <c r="B37" t="s">
        <v>15</v>
      </c>
      <c r="C37" t="s">
        <v>27</v>
      </c>
      <c r="D37" t="s">
        <v>210</v>
      </c>
    </row>
    <row r="38" spans="1:4" x14ac:dyDescent="0.2">
      <c r="A38">
        <v>65999</v>
      </c>
      <c r="B38" t="s">
        <v>13</v>
      </c>
      <c r="C38" t="s">
        <v>19</v>
      </c>
      <c r="D38" t="s">
        <v>172</v>
      </c>
    </row>
    <row r="39" spans="1:4" x14ac:dyDescent="0.2">
      <c r="A39">
        <v>65999</v>
      </c>
      <c r="B39" t="s">
        <v>14</v>
      </c>
      <c r="C39" t="s">
        <v>40</v>
      </c>
      <c r="D39" t="s">
        <v>122</v>
      </c>
    </row>
    <row r="40" spans="1:4" x14ac:dyDescent="0.2">
      <c r="A40">
        <v>65999</v>
      </c>
      <c r="B40" t="s">
        <v>15</v>
      </c>
      <c r="C40" t="s">
        <v>27</v>
      </c>
      <c r="D40" t="s">
        <v>55</v>
      </c>
    </row>
    <row r="41" spans="1:4" x14ac:dyDescent="0.2">
      <c r="A41">
        <v>27400</v>
      </c>
      <c r="B41" t="s">
        <v>13</v>
      </c>
      <c r="C41" t="s">
        <v>19</v>
      </c>
      <c r="D41" t="s">
        <v>211</v>
      </c>
    </row>
    <row r="42" spans="1:4" x14ac:dyDescent="0.2">
      <c r="A42">
        <v>27400</v>
      </c>
      <c r="B42" t="s">
        <v>14</v>
      </c>
      <c r="C42" t="s">
        <v>30</v>
      </c>
      <c r="D42" t="s">
        <v>212</v>
      </c>
    </row>
    <row r="43" spans="1:4" x14ac:dyDescent="0.2">
      <c r="A43">
        <v>27400</v>
      </c>
      <c r="B43" t="s">
        <v>15</v>
      </c>
      <c r="C43" t="s">
        <v>23</v>
      </c>
      <c r="D43" t="s">
        <v>197</v>
      </c>
    </row>
    <row r="44" spans="1:4" x14ac:dyDescent="0.2">
      <c r="A44">
        <v>1960</v>
      </c>
      <c r="B44" t="s">
        <v>13</v>
      </c>
      <c r="C44" t="s">
        <v>19</v>
      </c>
      <c r="D44" t="s">
        <v>78</v>
      </c>
    </row>
    <row r="45" spans="1:4" x14ac:dyDescent="0.2">
      <c r="A45">
        <v>1960</v>
      </c>
      <c r="B45" t="s">
        <v>14</v>
      </c>
      <c r="C45" t="s">
        <v>30</v>
      </c>
      <c r="D45" t="s">
        <v>126</v>
      </c>
    </row>
    <row r="46" spans="1:4" x14ac:dyDescent="0.2">
      <c r="A46">
        <v>1960</v>
      </c>
      <c r="B46" t="s">
        <v>15</v>
      </c>
      <c r="C46" t="s">
        <v>27</v>
      </c>
      <c r="D46" t="s">
        <v>203</v>
      </c>
    </row>
    <row r="47" spans="1:4" x14ac:dyDescent="0.2">
      <c r="A47">
        <v>54620</v>
      </c>
      <c r="B47" t="s">
        <v>13</v>
      </c>
      <c r="C47" t="s">
        <v>19</v>
      </c>
      <c r="D47" t="s">
        <v>170</v>
      </c>
    </row>
    <row r="48" spans="1:4" x14ac:dyDescent="0.2">
      <c r="A48">
        <v>54620</v>
      </c>
      <c r="B48" t="s">
        <v>14</v>
      </c>
      <c r="C48" t="s">
        <v>30</v>
      </c>
      <c r="D48" t="s">
        <v>213</v>
      </c>
    </row>
    <row r="49" spans="1:4" x14ac:dyDescent="0.2">
      <c r="A49">
        <v>54620</v>
      </c>
      <c r="B49" t="s">
        <v>15</v>
      </c>
      <c r="C49" t="s">
        <v>27</v>
      </c>
      <c r="D49" t="s">
        <v>214</v>
      </c>
    </row>
    <row r="50" spans="1:4" x14ac:dyDescent="0.2">
      <c r="A50">
        <v>34617</v>
      </c>
      <c r="B50" t="s">
        <v>13</v>
      </c>
      <c r="C50" t="s">
        <v>19</v>
      </c>
      <c r="D50" t="s">
        <v>215</v>
      </c>
    </row>
    <row r="51" spans="1:4" x14ac:dyDescent="0.2">
      <c r="A51">
        <v>34617</v>
      </c>
      <c r="B51" t="s">
        <v>14</v>
      </c>
      <c r="C51" t="s">
        <v>30</v>
      </c>
      <c r="D51" t="s">
        <v>216</v>
      </c>
    </row>
    <row r="52" spans="1:4" x14ac:dyDescent="0.2">
      <c r="A52">
        <v>34617</v>
      </c>
      <c r="B52" t="s">
        <v>15</v>
      </c>
      <c r="C52" t="s">
        <v>27</v>
      </c>
      <c r="D52" t="s">
        <v>217</v>
      </c>
    </row>
    <row r="53" spans="1:4" x14ac:dyDescent="0.2">
      <c r="A53">
        <v>53072</v>
      </c>
      <c r="B53" t="s">
        <v>13</v>
      </c>
      <c r="C53" t="s">
        <v>19</v>
      </c>
      <c r="D53" t="s">
        <v>202</v>
      </c>
    </row>
    <row r="54" spans="1:4" x14ac:dyDescent="0.2">
      <c r="A54">
        <v>53072</v>
      </c>
      <c r="B54" t="s">
        <v>14</v>
      </c>
      <c r="C54" t="s">
        <v>48</v>
      </c>
      <c r="D54" t="s">
        <v>218</v>
      </c>
    </row>
    <row r="55" spans="1:4" x14ac:dyDescent="0.2">
      <c r="A55">
        <v>53072</v>
      </c>
      <c r="B55" t="s">
        <v>15</v>
      </c>
      <c r="C55" t="s">
        <v>27</v>
      </c>
      <c r="D55" t="s">
        <v>219</v>
      </c>
    </row>
    <row r="56" spans="1:4" x14ac:dyDescent="0.2">
      <c r="A56">
        <v>71119</v>
      </c>
      <c r="B56" t="s">
        <v>13</v>
      </c>
      <c r="C56" t="s">
        <v>19</v>
      </c>
      <c r="D56" t="s">
        <v>211</v>
      </c>
    </row>
    <row r="57" spans="1:4" x14ac:dyDescent="0.2">
      <c r="A57">
        <v>71119</v>
      </c>
      <c r="B57" t="s">
        <v>14</v>
      </c>
      <c r="C57" t="s">
        <v>30</v>
      </c>
      <c r="D57" t="s">
        <v>220</v>
      </c>
    </row>
    <row r="58" spans="1:4" x14ac:dyDescent="0.2">
      <c r="A58">
        <v>71119</v>
      </c>
      <c r="B58" t="s">
        <v>15</v>
      </c>
      <c r="C58" t="s">
        <v>27</v>
      </c>
      <c r="D58" t="s">
        <v>141</v>
      </c>
    </row>
    <row r="59" spans="1:4" x14ac:dyDescent="0.2">
      <c r="A59">
        <v>82246</v>
      </c>
      <c r="B59" t="s">
        <v>13</v>
      </c>
      <c r="C59" t="s">
        <v>19</v>
      </c>
      <c r="D59" t="s">
        <v>160</v>
      </c>
    </row>
    <row r="60" spans="1:4" x14ac:dyDescent="0.2">
      <c r="A60">
        <v>82246</v>
      </c>
      <c r="B60" t="s">
        <v>14</v>
      </c>
      <c r="C60" t="s">
        <v>48</v>
      </c>
      <c r="D60" t="s">
        <v>221</v>
      </c>
    </row>
    <row r="61" spans="1:4" x14ac:dyDescent="0.2">
      <c r="A61">
        <v>82246</v>
      </c>
      <c r="B61" t="s">
        <v>15</v>
      </c>
      <c r="C61" t="s">
        <v>27</v>
      </c>
      <c r="D61" t="s">
        <v>214</v>
      </c>
    </row>
    <row r="62" spans="1:4" x14ac:dyDescent="0.2">
      <c r="A62">
        <v>85459</v>
      </c>
      <c r="B62" t="s">
        <v>13</v>
      </c>
      <c r="C62" t="s">
        <v>19</v>
      </c>
      <c r="D62" t="s">
        <v>159</v>
      </c>
    </row>
    <row r="63" spans="1:4" x14ac:dyDescent="0.2">
      <c r="A63">
        <v>85459</v>
      </c>
      <c r="B63" t="s">
        <v>14</v>
      </c>
      <c r="C63" t="s">
        <v>30</v>
      </c>
      <c r="D63" t="s">
        <v>222</v>
      </c>
    </row>
    <row r="64" spans="1:4" x14ac:dyDescent="0.2">
      <c r="A64">
        <v>85459</v>
      </c>
      <c r="B64" t="s">
        <v>15</v>
      </c>
      <c r="C64" t="s">
        <v>27</v>
      </c>
      <c r="D64" t="s">
        <v>223</v>
      </c>
    </row>
    <row r="65" spans="1:4" x14ac:dyDescent="0.2">
      <c r="A65">
        <v>83773</v>
      </c>
      <c r="B65" t="s">
        <v>13</v>
      </c>
      <c r="C65" t="s">
        <v>19</v>
      </c>
      <c r="D65" t="s">
        <v>66</v>
      </c>
    </row>
    <row r="66" spans="1:4" x14ac:dyDescent="0.2">
      <c r="A66">
        <v>83773</v>
      </c>
      <c r="B66" t="s">
        <v>14</v>
      </c>
      <c r="C66" t="s">
        <v>30</v>
      </c>
      <c r="D66" t="s">
        <v>224</v>
      </c>
    </row>
    <row r="67" spans="1:4" x14ac:dyDescent="0.2">
      <c r="A67">
        <v>83773</v>
      </c>
      <c r="B67" t="s">
        <v>15</v>
      </c>
      <c r="C67" t="s">
        <v>27</v>
      </c>
      <c r="D67" t="s">
        <v>191</v>
      </c>
    </row>
    <row r="68" spans="1:4" x14ac:dyDescent="0.2">
      <c r="A68">
        <v>24764</v>
      </c>
      <c r="B68" t="s">
        <v>13</v>
      </c>
      <c r="C68" t="s">
        <v>19</v>
      </c>
      <c r="D68" t="s">
        <v>225</v>
      </c>
    </row>
    <row r="69" spans="1:4" x14ac:dyDescent="0.2">
      <c r="A69">
        <v>24764</v>
      </c>
      <c r="B69" t="s">
        <v>14</v>
      </c>
      <c r="C69" t="s">
        <v>21</v>
      </c>
      <c r="D69" t="s">
        <v>196</v>
      </c>
    </row>
    <row r="70" spans="1:4" x14ac:dyDescent="0.2">
      <c r="A70">
        <v>24764</v>
      </c>
      <c r="B70" t="s">
        <v>15</v>
      </c>
      <c r="C70" t="s">
        <v>27</v>
      </c>
      <c r="D70" t="s">
        <v>203</v>
      </c>
    </row>
    <row r="71" spans="1:4" x14ac:dyDescent="0.2">
      <c r="A71">
        <v>75733</v>
      </c>
      <c r="B71" t="s">
        <v>13</v>
      </c>
      <c r="C71" t="s">
        <v>19</v>
      </c>
      <c r="D71" t="s">
        <v>211</v>
      </c>
    </row>
    <row r="72" spans="1:4" x14ac:dyDescent="0.2">
      <c r="A72">
        <v>75733</v>
      </c>
      <c r="B72" t="s">
        <v>14</v>
      </c>
      <c r="C72" t="s">
        <v>30</v>
      </c>
      <c r="D72" t="s">
        <v>167</v>
      </c>
    </row>
    <row r="73" spans="1:4" x14ac:dyDescent="0.2">
      <c r="A73">
        <v>75733</v>
      </c>
      <c r="B73" t="s">
        <v>15</v>
      </c>
      <c r="C73" t="s">
        <v>27</v>
      </c>
      <c r="D73" t="s">
        <v>203</v>
      </c>
    </row>
    <row r="74" spans="1:4" x14ac:dyDescent="0.2">
      <c r="A74">
        <v>558</v>
      </c>
      <c r="B74" t="s">
        <v>13</v>
      </c>
      <c r="C74" t="s">
        <v>19</v>
      </c>
      <c r="D74" t="s">
        <v>55</v>
      </c>
    </row>
    <row r="75" spans="1:4" x14ac:dyDescent="0.2">
      <c r="A75">
        <v>558</v>
      </c>
      <c r="B75" t="s">
        <v>14</v>
      </c>
      <c r="C75" t="s">
        <v>30</v>
      </c>
      <c r="D75" t="s">
        <v>226</v>
      </c>
    </row>
    <row r="76" spans="1:4" x14ac:dyDescent="0.2">
      <c r="A76">
        <v>558</v>
      </c>
      <c r="B76" t="s">
        <v>15</v>
      </c>
      <c r="C76" t="s">
        <v>27</v>
      </c>
      <c r="D76" t="s">
        <v>227</v>
      </c>
    </row>
    <row r="77" spans="1:4" x14ac:dyDescent="0.2">
      <c r="A77">
        <v>18533</v>
      </c>
      <c r="B77" t="s">
        <v>13</v>
      </c>
      <c r="C77" t="s">
        <v>19</v>
      </c>
      <c r="D77" t="s">
        <v>55</v>
      </c>
    </row>
    <row r="78" spans="1:4" x14ac:dyDescent="0.2">
      <c r="A78">
        <v>18533</v>
      </c>
      <c r="B78" t="s">
        <v>14</v>
      </c>
      <c r="C78" t="s">
        <v>30</v>
      </c>
      <c r="D78" t="s">
        <v>224</v>
      </c>
    </row>
    <row r="79" spans="1:4" x14ac:dyDescent="0.2">
      <c r="A79">
        <v>18533</v>
      </c>
      <c r="B79" t="s">
        <v>15</v>
      </c>
      <c r="C79" t="s">
        <v>27</v>
      </c>
      <c r="D79" t="s">
        <v>228</v>
      </c>
    </row>
    <row r="80" spans="1:4" x14ac:dyDescent="0.2">
      <c r="A80">
        <v>68559</v>
      </c>
      <c r="B80" t="s">
        <v>13</v>
      </c>
      <c r="C80" t="s">
        <v>19</v>
      </c>
      <c r="D80" t="s">
        <v>78</v>
      </c>
    </row>
    <row r="81" spans="1:4" x14ac:dyDescent="0.2">
      <c r="A81">
        <v>68559</v>
      </c>
      <c r="B81" t="s">
        <v>14</v>
      </c>
      <c r="C81" t="s">
        <v>30</v>
      </c>
      <c r="D81" t="s">
        <v>61</v>
      </c>
    </row>
    <row r="82" spans="1:4" x14ac:dyDescent="0.2">
      <c r="A82">
        <v>68559</v>
      </c>
      <c r="B82" t="s">
        <v>15</v>
      </c>
      <c r="C82" t="s">
        <v>27</v>
      </c>
      <c r="D82" t="s">
        <v>229</v>
      </c>
    </row>
    <row r="83" spans="1:4" x14ac:dyDescent="0.2">
      <c r="A83">
        <v>14709</v>
      </c>
      <c r="B83" t="s">
        <v>13</v>
      </c>
      <c r="C83" t="s">
        <v>19</v>
      </c>
      <c r="D83" t="s">
        <v>230</v>
      </c>
    </row>
    <row r="84" spans="1:4" x14ac:dyDescent="0.2">
      <c r="A84">
        <v>14709</v>
      </c>
      <c r="B84" t="s">
        <v>14</v>
      </c>
      <c r="C84" t="s">
        <v>30</v>
      </c>
      <c r="D84" t="s">
        <v>222</v>
      </c>
    </row>
    <row r="85" spans="1:4" x14ac:dyDescent="0.2">
      <c r="A85">
        <v>14709</v>
      </c>
      <c r="B85" t="s">
        <v>15</v>
      </c>
      <c r="C85" t="s">
        <v>27</v>
      </c>
      <c r="D85" t="s">
        <v>231</v>
      </c>
    </row>
    <row r="86" spans="1:4" x14ac:dyDescent="0.2">
      <c r="A86">
        <v>90726</v>
      </c>
      <c r="B86" t="s">
        <v>13</v>
      </c>
      <c r="C86" t="s">
        <v>19</v>
      </c>
      <c r="D86" t="s">
        <v>55</v>
      </c>
    </row>
    <row r="87" spans="1:4" x14ac:dyDescent="0.2">
      <c r="A87">
        <v>90726</v>
      </c>
      <c r="B87" t="s">
        <v>14</v>
      </c>
      <c r="C87" t="s">
        <v>30</v>
      </c>
      <c r="D87" t="s">
        <v>232</v>
      </c>
    </row>
    <row r="88" spans="1:4" x14ac:dyDescent="0.2">
      <c r="A88">
        <v>90726</v>
      </c>
      <c r="B88" t="s">
        <v>15</v>
      </c>
      <c r="C88" t="s">
        <v>27</v>
      </c>
      <c r="D88" t="s">
        <v>191</v>
      </c>
    </row>
    <row r="89" spans="1:4" x14ac:dyDescent="0.2">
      <c r="A89">
        <v>59016</v>
      </c>
      <c r="B89" t="s">
        <v>13</v>
      </c>
      <c r="C89" t="s">
        <v>19</v>
      </c>
      <c r="D89" t="s">
        <v>204</v>
      </c>
    </row>
    <row r="90" spans="1:4" x14ac:dyDescent="0.2">
      <c r="A90">
        <v>59016</v>
      </c>
      <c r="B90" t="s">
        <v>14</v>
      </c>
      <c r="C90" t="s">
        <v>30</v>
      </c>
      <c r="D90" t="s">
        <v>212</v>
      </c>
    </row>
    <row r="91" spans="1:4" x14ac:dyDescent="0.2">
      <c r="A91">
        <v>59016</v>
      </c>
      <c r="B91" t="s">
        <v>15</v>
      </c>
      <c r="C91" t="s">
        <v>27</v>
      </c>
      <c r="D91" t="s">
        <v>233</v>
      </c>
    </row>
    <row r="92" spans="1:4" x14ac:dyDescent="0.2">
      <c r="A92">
        <v>57966</v>
      </c>
      <c r="B92" t="s">
        <v>13</v>
      </c>
      <c r="C92" t="s">
        <v>19</v>
      </c>
      <c r="D92" t="s">
        <v>234</v>
      </c>
    </row>
    <row r="93" spans="1:4" x14ac:dyDescent="0.2">
      <c r="A93">
        <v>57966</v>
      </c>
      <c r="B93" t="s">
        <v>14</v>
      </c>
      <c r="C93" t="s">
        <v>30</v>
      </c>
      <c r="D93" t="s">
        <v>235</v>
      </c>
    </row>
    <row r="94" spans="1:4" x14ac:dyDescent="0.2">
      <c r="A94">
        <v>57966</v>
      </c>
      <c r="B94" t="s">
        <v>15</v>
      </c>
      <c r="C94" t="s">
        <v>27</v>
      </c>
      <c r="D94" t="s">
        <v>236</v>
      </c>
    </row>
    <row r="95" spans="1:4" x14ac:dyDescent="0.2">
      <c r="A95">
        <v>75222</v>
      </c>
      <c r="B95" t="s">
        <v>13</v>
      </c>
      <c r="C95" t="s">
        <v>19</v>
      </c>
      <c r="D95" t="s">
        <v>54</v>
      </c>
    </row>
    <row r="96" spans="1:4" x14ac:dyDescent="0.2">
      <c r="A96">
        <v>75222</v>
      </c>
      <c r="B96" t="s">
        <v>14</v>
      </c>
      <c r="C96" t="s">
        <v>30</v>
      </c>
      <c r="D96" t="s">
        <v>237</v>
      </c>
    </row>
    <row r="97" spans="1:4" x14ac:dyDescent="0.2">
      <c r="A97">
        <v>75222</v>
      </c>
      <c r="B97" t="s">
        <v>15</v>
      </c>
      <c r="C97" t="s">
        <v>27</v>
      </c>
      <c r="D97" t="s">
        <v>238</v>
      </c>
    </row>
    <row r="98" spans="1:4" x14ac:dyDescent="0.2">
      <c r="A98">
        <v>75496</v>
      </c>
      <c r="B98" t="s">
        <v>13</v>
      </c>
      <c r="C98" t="s">
        <v>19</v>
      </c>
      <c r="D98" t="s">
        <v>215</v>
      </c>
    </row>
    <row r="99" spans="1:4" x14ac:dyDescent="0.2">
      <c r="A99">
        <v>75496</v>
      </c>
      <c r="B99" t="s">
        <v>14</v>
      </c>
      <c r="C99" t="s">
        <v>30</v>
      </c>
      <c r="D99" t="s">
        <v>239</v>
      </c>
    </row>
    <row r="100" spans="1:4" x14ac:dyDescent="0.2">
      <c r="A100">
        <v>75496</v>
      </c>
      <c r="B100" t="s">
        <v>15</v>
      </c>
      <c r="C100" t="s">
        <v>27</v>
      </c>
      <c r="D100" t="s">
        <v>240</v>
      </c>
    </row>
    <row r="101" spans="1:4" x14ac:dyDescent="0.2">
      <c r="A101">
        <v>6155</v>
      </c>
      <c r="B101" t="s">
        <v>13</v>
      </c>
      <c r="C101" t="s">
        <v>19</v>
      </c>
      <c r="D101" t="s">
        <v>241</v>
      </c>
    </row>
    <row r="102" spans="1:4" x14ac:dyDescent="0.2">
      <c r="A102">
        <v>6155</v>
      </c>
      <c r="B102" t="s">
        <v>14</v>
      </c>
      <c r="C102" t="s">
        <v>30</v>
      </c>
      <c r="D102" t="s">
        <v>137</v>
      </c>
    </row>
    <row r="103" spans="1:4" x14ac:dyDescent="0.2">
      <c r="A103">
        <v>6155</v>
      </c>
      <c r="B103" t="s">
        <v>15</v>
      </c>
      <c r="C103" t="s">
        <v>27</v>
      </c>
      <c r="D103" t="s">
        <v>200</v>
      </c>
    </row>
    <row r="104" spans="1:4" x14ac:dyDescent="0.2">
      <c r="A104">
        <v>31391</v>
      </c>
      <c r="B104" t="s">
        <v>13</v>
      </c>
      <c r="C104" t="s">
        <v>19</v>
      </c>
      <c r="D104" t="s">
        <v>66</v>
      </c>
    </row>
    <row r="105" spans="1:4" x14ac:dyDescent="0.2">
      <c r="A105">
        <v>31391</v>
      </c>
      <c r="B105" t="s">
        <v>14</v>
      </c>
      <c r="C105" t="s">
        <v>30</v>
      </c>
      <c r="D105" t="s">
        <v>220</v>
      </c>
    </row>
    <row r="106" spans="1:4" x14ac:dyDescent="0.2">
      <c r="A106">
        <v>31391</v>
      </c>
      <c r="B106" t="s">
        <v>15</v>
      </c>
      <c r="C106" t="s">
        <v>27</v>
      </c>
      <c r="D106" t="s">
        <v>203</v>
      </c>
    </row>
    <row r="107" spans="1:4" x14ac:dyDescent="0.2">
      <c r="A107">
        <v>41781</v>
      </c>
      <c r="B107" t="s">
        <v>13</v>
      </c>
      <c r="C107" t="s">
        <v>19</v>
      </c>
      <c r="D107" t="s">
        <v>204</v>
      </c>
    </row>
    <row r="108" spans="1:4" x14ac:dyDescent="0.2">
      <c r="A108">
        <v>41781</v>
      </c>
      <c r="B108" t="s">
        <v>14</v>
      </c>
      <c r="C108" t="s">
        <v>30</v>
      </c>
      <c r="D108" t="s">
        <v>50</v>
      </c>
    </row>
    <row r="109" spans="1:4" x14ac:dyDescent="0.2">
      <c r="A109">
        <v>41781</v>
      </c>
      <c r="B109" t="s">
        <v>15</v>
      </c>
      <c r="C109" t="s">
        <v>27</v>
      </c>
      <c r="D109" t="s">
        <v>242</v>
      </c>
    </row>
    <row r="110" spans="1:4" x14ac:dyDescent="0.2">
      <c r="A110">
        <v>23426</v>
      </c>
      <c r="B110" t="s">
        <v>13</v>
      </c>
      <c r="C110" t="s">
        <v>19</v>
      </c>
      <c r="D110" t="s">
        <v>243</v>
      </c>
    </row>
    <row r="111" spans="1:4" x14ac:dyDescent="0.2">
      <c r="A111">
        <v>23426</v>
      </c>
      <c r="B111" t="s">
        <v>14</v>
      </c>
      <c r="C111" t="s">
        <v>30</v>
      </c>
      <c r="D111" t="s">
        <v>244</v>
      </c>
    </row>
    <row r="112" spans="1:4" x14ac:dyDescent="0.2">
      <c r="A112">
        <v>23426</v>
      </c>
      <c r="B112" t="s">
        <v>15</v>
      </c>
      <c r="C112" t="s">
        <v>83</v>
      </c>
      <c r="D112" t="s">
        <v>245</v>
      </c>
    </row>
    <row r="113" spans="1:4" x14ac:dyDescent="0.2">
      <c r="A113">
        <v>83540</v>
      </c>
      <c r="B113" t="s">
        <v>13</v>
      </c>
      <c r="C113" t="s">
        <v>19</v>
      </c>
      <c r="D113" t="s">
        <v>246</v>
      </c>
    </row>
    <row r="114" spans="1:4" x14ac:dyDescent="0.2">
      <c r="A114">
        <v>83540</v>
      </c>
      <c r="B114" t="s">
        <v>14</v>
      </c>
      <c r="C114" t="s">
        <v>30</v>
      </c>
      <c r="D114" t="s">
        <v>247</v>
      </c>
    </row>
    <row r="115" spans="1:4" x14ac:dyDescent="0.2">
      <c r="A115">
        <v>83540</v>
      </c>
      <c r="B115" t="s">
        <v>15</v>
      </c>
      <c r="C115" t="s">
        <v>27</v>
      </c>
      <c r="D115" t="s">
        <v>248</v>
      </c>
    </row>
    <row r="116" spans="1:4" x14ac:dyDescent="0.2">
      <c r="A116">
        <v>28296</v>
      </c>
      <c r="B116" t="s">
        <v>13</v>
      </c>
      <c r="C116" t="s">
        <v>19</v>
      </c>
      <c r="D116" t="s">
        <v>182</v>
      </c>
    </row>
    <row r="117" spans="1:4" x14ac:dyDescent="0.2">
      <c r="A117">
        <v>28296</v>
      </c>
      <c r="B117" t="s">
        <v>14</v>
      </c>
      <c r="C117" t="s">
        <v>48</v>
      </c>
      <c r="D117" t="s">
        <v>249</v>
      </c>
    </row>
    <row r="118" spans="1:4" x14ac:dyDescent="0.2">
      <c r="A118">
        <v>28296</v>
      </c>
      <c r="B118" t="s">
        <v>15</v>
      </c>
      <c r="C118" t="s">
        <v>27</v>
      </c>
      <c r="D118" t="s">
        <v>250</v>
      </c>
    </row>
    <row r="119" spans="1:4" x14ac:dyDescent="0.2">
      <c r="A119">
        <v>96580</v>
      </c>
      <c r="B119" t="s">
        <v>13</v>
      </c>
      <c r="C119" t="s">
        <v>19</v>
      </c>
      <c r="D119" t="s">
        <v>201</v>
      </c>
    </row>
    <row r="120" spans="1:4" x14ac:dyDescent="0.2">
      <c r="A120">
        <v>96580</v>
      </c>
      <c r="B120" t="s">
        <v>14</v>
      </c>
      <c r="C120" t="s">
        <v>30</v>
      </c>
      <c r="D120" t="s">
        <v>251</v>
      </c>
    </row>
    <row r="121" spans="1:4" x14ac:dyDescent="0.2">
      <c r="A121">
        <v>96580</v>
      </c>
      <c r="B121" t="s">
        <v>15</v>
      </c>
      <c r="C121" t="s">
        <v>27</v>
      </c>
      <c r="D121" t="s">
        <v>252</v>
      </c>
    </row>
    <row r="122" spans="1:4" x14ac:dyDescent="0.2">
      <c r="A122">
        <v>59954</v>
      </c>
      <c r="B122" t="s">
        <v>13</v>
      </c>
      <c r="C122" t="s">
        <v>19</v>
      </c>
      <c r="D122" t="s">
        <v>253</v>
      </c>
    </row>
    <row r="123" spans="1:4" x14ac:dyDescent="0.2">
      <c r="A123">
        <v>59954</v>
      </c>
      <c r="B123" t="s">
        <v>14</v>
      </c>
      <c r="C123" t="s">
        <v>40</v>
      </c>
      <c r="D123" t="s">
        <v>209</v>
      </c>
    </row>
    <row r="124" spans="1:4" x14ac:dyDescent="0.2">
      <c r="A124">
        <v>59954</v>
      </c>
      <c r="B124" t="s">
        <v>15</v>
      </c>
      <c r="C124" t="s">
        <v>27</v>
      </c>
      <c r="D124" t="s">
        <v>55</v>
      </c>
    </row>
    <row r="125" spans="1:4" x14ac:dyDescent="0.2">
      <c r="A125">
        <v>33575</v>
      </c>
      <c r="B125" t="s">
        <v>13</v>
      </c>
      <c r="C125" t="s">
        <v>19</v>
      </c>
      <c r="D125" t="s">
        <v>254</v>
      </c>
    </row>
    <row r="126" spans="1:4" x14ac:dyDescent="0.2">
      <c r="A126">
        <v>33575</v>
      </c>
      <c r="B126" t="s">
        <v>14</v>
      </c>
      <c r="C126" t="s">
        <v>30</v>
      </c>
      <c r="D126" t="s">
        <v>50</v>
      </c>
    </row>
    <row r="127" spans="1:4" x14ac:dyDescent="0.2">
      <c r="A127">
        <v>33575</v>
      </c>
      <c r="B127" t="s">
        <v>15</v>
      </c>
      <c r="C127" t="s">
        <v>27</v>
      </c>
      <c r="D127" t="s">
        <v>55</v>
      </c>
    </row>
    <row r="128" spans="1:4" x14ac:dyDescent="0.2">
      <c r="A128">
        <v>20635</v>
      </c>
      <c r="B128" t="s">
        <v>13</v>
      </c>
      <c r="C128" t="s">
        <v>19</v>
      </c>
      <c r="D128" t="s">
        <v>74</v>
      </c>
    </row>
    <row r="129" spans="1:4" x14ac:dyDescent="0.2">
      <c r="A129">
        <v>20635</v>
      </c>
      <c r="B129" t="s">
        <v>14</v>
      </c>
      <c r="C129" t="s">
        <v>30</v>
      </c>
      <c r="D129" t="s">
        <v>255</v>
      </c>
    </row>
    <row r="130" spans="1:4" x14ac:dyDescent="0.2">
      <c r="A130">
        <v>20635</v>
      </c>
      <c r="B130" t="s">
        <v>15</v>
      </c>
      <c r="C130" t="s">
        <v>27</v>
      </c>
      <c r="D130" t="s">
        <v>256</v>
      </c>
    </row>
    <row r="131" spans="1:4" x14ac:dyDescent="0.2">
      <c r="A131">
        <v>95014</v>
      </c>
      <c r="B131" t="s">
        <v>13</v>
      </c>
      <c r="C131" t="s">
        <v>19</v>
      </c>
      <c r="D131" t="s">
        <v>74</v>
      </c>
    </row>
    <row r="132" spans="1:4" x14ac:dyDescent="0.2">
      <c r="A132">
        <v>95014</v>
      </c>
      <c r="B132" t="s">
        <v>14</v>
      </c>
      <c r="C132" t="s">
        <v>30</v>
      </c>
      <c r="D132" t="s">
        <v>257</v>
      </c>
    </row>
    <row r="133" spans="1:4" x14ac:dyDescent="0.2">
      <c r="A133">
        <v>95014</v>
      </c>
      <c r="B133" t="s">
        <v>15</v>
      </c>
      <c r="C133" t="s">
        <v>27</v>
      </c>
      <c r="D133" t="s">
        <v>258</v>
      </c>
    </row>
    <row r="134" spans="1:4" x14ac:dyDescent="0.2">
      <c r="A134">
        <v>26819</v>
      </c>
      <c r="B134" t="s">
        <v>13</v>
      </c>
      <c r="C134" t="s">
        <v>19</v>
      </c>
      <c r="D134" t="s">
        <v>259</v>
      </c>
    </row>
    <row r="135" spans="1:4" x14ac:dyDescent="0.2">
      <c r="A135">
        <v>26819</v>
      </c>
      <c r="B135" t="s">
        <v>14</v>
      </c>
      <c r="C135" t="s">
        <v>30</v>
      </c>
      <c r="D135" t="s">
        <v>212</v>
      </c>
    </row>
    <row r="136" spans="1:4" x14ac:dyDescent="0.2">
      <c r="A136">
        <v>26819</v>
      </c>
      <c r="B136" t="s">
        <v>15</v>
      </c>
      <c r="C136" t="s">
        <v>27</v>
      </c>
      <c r="D136" t="s">
        <v>191</v>
      </c>
    </row>
    <row r="137" spans="1:4" x14ac:dyDescent="0.2">
      <c r="A137">
        <v>62970</v>
      </c>
      <c r="B137" t="s">
        <v>13</v>
      </c>
      <c r="C137" t="s">
        <v>19</v>
      </c>
      <c r="D137" t="s">
        <v>182</v>
      </c>
    </row>
    <row r="138" spans="1:4" x14ac:dyDescent="0.2">
      <c r="A138">
        <v>62970</v>
      </c>
      <c r="B138" t="s">
        <v>14</v>
      </c>
      <c r="C138" t="s">
        <v>30</v>
      </c>
      <c r="D138" t="s">
        <v>260</v>
      </c>
    </row>
    <row r="139" spans="1:4" x14ac:dyDescent="0.2">
      <c r="A139">
        <v>62970</v>
      </c>
      <c r="B139" t="s">
        <v>15</v>
      </c>
      <c r="C139" t="s">
        <v>27</v>
      </c>
      <c r="D139" t="s">
        <v>191</v>
      </c>
    </row>
    <row r="140" spans="1:4" x14ac:dyDescent="0.2">
      <c r="A140">
        <v>6575</v>
      </c>
      <c r="B140" t="s">
        <v>13</v>
      </c>
      <c r="C140" t="s">
        <v>19</v>
      </c>
      <c r="D140" t="s">
        <v>261</v>
      </c>
    </row>
    <row r="141" spans="1:4" x14ac:dyDescent="0.2">
      <c r="A141">
        <v>6575</v>
      </c>
      <c r="B141" t="s">
        <v>14</v>
      </c>
      <c r="C141" t="s">
        <v>21</v>
      </c>
      <c r="D141" t="s">
        <v>239</v>
      </c>
    </row>
    <row r="142" spans="1:4" x14ac:dyDescent="0.2">
      <c r="A142">
        <v>6575</v>
      </c>
      <c r="B142" t="s">
        <v>15</v>
      </c>
      <c r="C142" t="s">
        <v>27</v>
      </c>
      <c r="D142" t="s">
        <v>262</v>
      </c>
    </row>
    <row r="143" spans="1:4" x14ac:dyDescent="0.2">
      <c r="A143">
        <v>49398</v>
      </c>
      <c r="B143" t="s">
        <v>13</v>
      </c>
      <c r="C143" t="s">
        <v>19</v>
      </c>
      <c r="D143" t="s">
        <v>170</v>
      </c>
    </row>
    <row r="144" spans="1:4" x14ac:dyDescent="0.2">
      <c r="A144">
        <v>49398</v>
      </c>
      <c r="B144" t="s">
        <v>14</v>
      </c>
      <c r="C144" t="s">
        <v>30</v>
      </c>
      <c r="D144" t="s">
        <v>263</v>
      </c>
    </row>
    <row r="145" spans="1:4" x14ac:dyDescent="0.2">
      <c r="A145">
        <v>49398</v>
      </c>
      <c r="B145" t="s">
        <v>15</v>
      </c>
      <c r="C145" t="s">
        <v>27</v>
      </c>
      <c r="D145" t="s">
        <v>264</v>
      </c>
    </row>
    <row r="146" spans="1:4" x14ac:dyDescent="0.2">
      <c r="A146">
        <v>66604</v>
      </c>
      <c r="B146" t="s">
        <v>13</v>
      </c>
      <c r="C146" t="s">
        <v>19</v>
      </c>
      <c r="D146" t="s">
        <v>195</v>
      </c>
    </row>
    <row r="147" spans="1:4" x14ac:dyDescent="0.2">
      <c r="A147">
        <v>66604</v>
      </c>
      <c r="B147" t="s">
        <v>14</v>
      </c>
      <c r="C147" t="s">
        <v>30</v>
      </c>
      <c r="D147" t="s">
        <v>265</v>
      </c>
    </row>
    <row r="148" spans="1:4" x14ac:dyDescent="0.2">
      <c r="A148">
        <v>66604</v>
      </c>
      <c r="B148" t="s">
        <v>15</v>
      </c>
      <c r="C148" t="s">
        <v>27</v>
      </c>
      <c r="D148" t="s">
        <v>189</v>
      </c>
    </row>
    <row r="149" spans="1:4" x14ac:dyDescent="0.2">
      <c r="A149">
        <v>25589</v>
      </c>
      <c r="B149" t="s">
        <v>13</v>
      </c>
      <c r="C149" t="s">
        <v>19</v>
      </c>
      <c r="D149" t="s">
        <v>266</v>
      </c>
    </row>
    <row r="150" spans="1:4" x14ac:dyDescent="0.2">
      <c r="A150">
        <v>25589</v>
      </c>
      <c r="B150" t="s">
        <v>14</v>
      </c>
      <c r="C150" t="s">
        <v>21</v>
      </c>
      <c r="D150" t="s">
        <v>234</v>
      </c>
    </row>
    <row r="151" spans="1:4" x14ac:dyDescent="0.2">
      <c r="A151">
        <v>25589</v>
      </c>
      <c r="B151" t="s">
        <v>15</v>
      </c>
      <c r="C151" t="s">
        <v>27</v>
      </c>
      <c r="D151" t="s">
        <v>200</v>
      </c>
    </row>
    <row r="152" spans="1:4" x14ac:dyDescent="0.2">
      <c r="A152">
        <v>58458</v>
      </c>
      <c r="B152" t="s">
        <v>13</v>
      </c>
      <c r="C152" t="s">
        <v>19</v>
      </c>
      <c r="D152" t="s">
        <v>74</v>
      </c>
    </row>
    <row r="153" spans="1:4" x14ac:dyDescent="0.2">
      <c r="A153">
        <v>58458</v>
      </c>
      <c r="B153" t="s">
        <v>14</v>
      </c>
      <c r="C153" t="s">
        <v>30</v>
      </c>
      <c r="D153" t="s">
        <v>127</v>
      </c>
    </row>
    <row r="154" spans="1:4" x14ac:dyDescent="0.2">
      <c r="A154">
        <v>58458</v>
      </c>
      <c r="B154" t="s">
        <v>15</v>
      </c>
      <c r="C154" t="s">
        <v>27</v>
      </c>
      <c r="D154" t="s">
        <v>267</v>
      </c>
    </row>
    <row r="155" spans="1:4" x14ac:dyDescent="0.2">
      <c r="A155">
        <v>4254</v>
      </c>
      <c r="B155" t="s">
        <v>13</v>
      </c>
      <c r="C155" t="s">
        <v>19</v>
      </c>
      <c r="D155" t="s">
        <v>170</v>
      </c>
    </row>
    <row r="156" spans="1:4" x14ac:dyDescent="0.2">
      <c r="A156">
        <v>4254</v>
      </c>
      <c r="B156" t="s">
        <v>14</v>
      </c>
      <c r="C156" t="s">
        <v>30</v>
      </c>
      <c r="D156" t="s">
        <v>198</v>
      </c>
    </row>
    <row r="157" spans="1:4" x14ac:dyDescent="0.2">
      <c r="A157">
        <v>4254</v>
      </c>
      <c r="B157" t="s">
        <v>15</v>
      </c>
      <c r="C157" t="s">
        <v>27</v>
      </c>
      <c r="D157" t="s">
        <v>203</v>
      </c>
    </row>
    <row r="158" spans="1:4" x14ac:dyDescent="0.2">
      <c r="A158">
        <v>87605</v>
      </c>
      <c r="B158" t="s">
        <v>13</v>
      </c>
      <c r="C158" t="s">
        <v>19</v>
      </c>
      <c r="D158" t="s">
        <v>139</v>
      </c>
    </row>
    <row r="159" spans="1:4" x14ac:dyDescent="0.2">
      <c r="A159">
        <v>87605</v>
      </c>
      <c r="B159" t="s">
        <v>14</v>
      </c>
      <c r="C159" t="s">
        <v>21</v>
      </c>
      <c r="D159" t="s">
        <v>216</v>
      </c>
    </row>
    <row r="160" spans="1:4" x14ac:dyDescent="0.2">
      <c r="A160">
        <v>87605</v>
      </c>
      <c r="B160" t="s">
        <v>15</v>
      </c>
      <c r="C160" t="s">
        <v>27</v>
      </c>
      <c r="D160" t="s">
        <v>268</v>
      </c>
    </row>
    <row r="161" spans="1:4" x14ac:dyDescent="0.2">
      <c r="A161">
        <v>16657</v>
      </c>
      <c r="B161" t="s">
        <v>13</v>
      </c>
      <c r="C161" t="s">
        <v>19</v>
      </c>
      <c r="D161" t="s">
        <v>74</v>
      </c>
    </row>
    <row r="162" spans="1:4" x14ac:dyDescent="0.2">
      <c r="A162">
        <v>16657</v>
      </c>
      <c r="B162" t="s">
        <v>14</v>
      </c>
      <c r="C162" t="s">
        <v>30</v>
      </c>
      <c r="D162" t="s">
        <v>232</v>
      </c>
    </row>
    <row r="163" spans="1:4" x14ac:dyDescent="0.2">
      <c r="A163">
        <v>16657</v>
      </c>
      <c r="B163" t="s">
        <v>15</v>
      </c>
      <c r="C163" t="s">
        <v>27</v>
      </c>
      <c r="D163" t="s">
        <v>203</v>
      </c>
    </row>
    <row r="164" spans="1:4" x14ac:dyDescent="0.2">
      <c r="A164">
        <v>30151</v>
      </c>
      <c r="B164" t="s">
        <v>13</v>
      </c>
      <c r="C164" t="s">
        <v>19</v>
      </c>
      <c r="D164" t="s">
        <v>261</v>
      </c>
    </row>
    <row r="165" spans="1:4" x14ac:dyDescent="0.2">
      <c r="A165">
        <v>30151</v>
      </c>
      <c r="B165" t="s">
        <v>14</v>
      </c>
      <c r="C165" t="s">
        <v>30</v>
      </c>
      <c r="D165" t="s">
        <v>242</v>
      </c>
    </row>
    <row r="166" spans="1:4" x14ac:dyDescent="0.2">
      <c r="A166">
        <v>30151</v>
      </c>
      <c r="B166" t="s">
        <v>15</v>
      </c>
      <c r="C166" t="s">
        <v>27</v>
      </c>
      <c r="D166" t="s">
        <v>269</v>
      </c>
    </row>
    <row r="167" spans="1:4" x14ac:dyDescent="0.2">
      <c r="A167">
        <v>56933</v>
      </c>
      <c r="B167" t="s">
        <v>13</v>
      </c>
      <c r="C167" t="s">
        <v>19</v>
      </c>
      <c r="D167" t="s">
        <v>166</v>
      </c>
    </row>
    <row r="168" spans="1:4" x14ac:dyDescent="0.2">
      <c r="A168">
        <v>56933</v>
      </c>
      <c r="B168" t="s">
        <v>14</v>
      </c>
      <c r="C168" t="s">
        <v>30</v>
      </c>
      <c r="D168" t="s">
        <v>270</v>
      </c>
    </row>
    <row r="169" spans="1:4" x14ac:dyDescent="0.2">
      <c r="A169">
        <v>56933</v>
      </c>
      <c r="B169" t="s">
        <v>15</v>
      </c>
      <c r="C169" t="s">
        <v>27</v>
      </c>
      <c r="D169" t="s">
        <v>191</v>
      </c>
    </row>
    <row r="170" spans="1:4" x14ac:dyDescent="0.2">
      <c r="A170">
        <v>27506</v>
      </c>
      <c r="B170" t="s">
        <v>13</v>
      </c>
      <c r="C170" t="s">
        <v>19</v>
      </c>
      <c r="D170" t="s">
        <v>213</v>
      </c>
    </row>
    <row r="171" spans="1:4" x14ac:dyDescent="0.2">
      <c r="A171">
        <v>27506</v>
      </c>
      <c r="B171" t="s">
        <v>14</v>
      </c>
      <c r="C171" t="s">
        <v>30</v>
      </c>
      <c r="D171" t="s">
        <v>232</v>
      </c>
    </row>
    <row r="172" spans="1:4" x14ac:dyDescent="0.2">
      <c r="A172">
        <v>27506</v>
      </c>
      <c r="B172" t="s">
        <v>15</v>
      </c>
      <c r="C172" t="s">
        <v>27</v>
      </c>
      <c r="D172" t="s">
        <v>271</v>
      </c>
    </row>
    <row r="173" spans="1:4" x14ac:dyDescent="0.2">
      <c r="A173">
        <v>75224</v>
      </c>
      <c r="B173" t="s">
        <v>13</v>
      </c>
      <c r="C173" t="s">
        <v>19</v>
      </c>
      <c r="D173" t="s">
        <v>272</v>
      </c>
    </row>
    <row r="174" spans="1:4" x14ac:dyDescent="0.2">
      <c r="A174">
        <v>75224</v>
      </c>
      <c r="B174" t="s">
        <v>14</v>
      </c>
      <c r="C174" t="s">
        <v>40</v>
      </c>
      <c r="D174" t="s">
        <v>273</v>
      </c>
    </row>
    <row r="175" spans="1:4" x14ac:dyDescent="0.2">
      <c r="A175">
        <v>75224</v>
      </c>
      <c r="B175" t="s">
        <v>15</v>
      </c>
      <c r="C175" t="s">
        <v>23</v>
      </c>
      <c r="D175" t="s">
        <v>265</v>
      </c>
    </row>
    <row r="176" spans="1:4" x14ac:dyDescent="0.2">
      <c r="A176">
        <v>85179</v>
      </c>
      <c r="B176" t="s">
        <v>13</v>
      </c>
      <c r="C176" t="s">
        <v>19</v>
      </c>
      <c r="D176" t="s">
        <v>274</v>
      </c>
    </row>
    <row r="177" spans="1:4" x14ac:dyDescent="0.2">
      <c r="A177">
        <v>85179</v>
      </c>
      <c r="B177" t="s">
        <v>14</v>
      </c>
      <c r="C177" t="s">
        <v>30</v>
      </c>
      <c r="D177" t="s">
        <v>272</v>
      </c>
    </row>
    <row r="178" spans="1:4" x14ac:dyDescent="0.2">
      <c r="A178">
        <v>85179</v>
      </c>
      <c r="B178" t="s">
        <v>15</v>
      </c>
      <c r="C178" t="s">
        <v>27</v>
      </c>
      <c r="D178" t="s">
        <v>275</v>
      </c>
    </row>
    <row r="179" spans="1:4" x14ac:dyDescent="0.2">
      <c r="A179">
        <v>97808</v>
      </c>
      <c r="B179" t="s">
        <v>13</v>
      </c>
      <c r="C179" t="s">
        <v>19</v>
      </c>
      <c r="D179" t="s">
        <v>206</v>
      </c>
    </row>
    <row r="180" spans="1:4" x14ac:dyDescent="0.2">
      <c r="A180">
        <v>97808</v>
      </c>
      <c r="B180" t="s">
        <v>14</v>
      </c>
      <c r="C180" t="s">
        <v>30</v>
      </c>
      <c r="D180" t="s">
        <v>276</v>
      </c>
    </row>
    <row r="181" spans="1:4" x14ac:dyDescent="0.2">
      <c r="A181">
        <v>97808</v>
      </c>
      <c r="B181" t="s">
        <v>15</v>
      </c>
      <c r="C181" t="s">
        <v>27</v>
      </c>
      <c r="D181" t="s">
        <v>203</v>
      </c>
    </row>
    <row r="182" spans="1:4" x14ac:dyDescent="0.2">
      <c r="A182">
        <v>56970</v>
      </c>
      <c r="B182" t="s">
        <v>13</v>
      </c>
      <c r="C182" t="s">
        <v>19</v>
      </c>
      <c r="D182" t="s">
        <v>162</v>
      </c>
    </row>
    <row r="183" spans="1:4" x14ac:dyDescent="0.2">
      <c r="A183">
        <v>56970</v>
      </c>
      <c r="B183" t="s">
        <v>14</v>
      </c>
      <c r="C183" t="s">
        <v>154</v>
      </c>
      <c r="D183" t="s">
        <v>277</v>
      </c>
    </row>
    <row r="184" spans="1:4" x14ac:dyDescent="0.2">
      <c r="A184">
        <v>56970</v>
      </c>
      <c r="B184" t="s">
        <v>15</v>
      </c>
      <c r="C184" t="s">
        <v>27</v>
      </c>
      <c r="D184" t="s">
        <v>278</v>
      </c>
    </row>
    <row r="185" spans="1:4" x14ac:dyDescent="0.2">
      <c r="A185">
        <v>99307</v>
      </c>
      <c r="B185" t="s">
        <v>13</v>
      </c>
      <c r="C185" t="s">
        <v>19</v>
      </c>
      <c r="D185" t="s">
        <v>252</v>
      </c>
    </row>
    <row r="186" spans="1:4" x14ac:dyDescent="0.2">
      <c r="A186">
        <v>99307</v>
      </c>
      <c r="B186" t="s">
        <v>14</v>
      </c>
      <c r="C186" t="s">
        <v>30</v>
      </c>
      <c r="D186" t="s">
        <v>50</v>
      </c>
    </row>
    <row r="187" spans="1:4" x14ac:dyDescent="0.2">
      <c r="A187">
        <v>99307</v>
      </c>
      <c r="B187" t="s">
        <v>15</v>
      </c>
      <c r="C187" t="s">
        <v>27</v>
      </c>
      <c r="D187" t="s">
        <v>238</v>
      </c>
    </row>
    <row r="188" spans="1:4" x14ac:dyDescent="0.2">
      <c r="A188">
        <v>38177</v>
      </c>
      <c r="B188" t="s">
        <v>13</v>
      </c>
      <c r="C188" t="s">
        <v>19</v>
      </c>
      <c r="D188" t="s">
        <v>243</v>
      </c>
    </row>
    <row r="189" spans="1:4" x14ac:dyDescent="0.2">
      <c r="A189">
        <v>38177</v>
      </c>
      <c r="B189" t="s">
        <v>14</v>
      </c>
      <c r="C189" t="s">
        <v>21</v>
      </c>
      <c r="D189" t="s">
        <v>234</v>
      </c>
    </row>
    <row r="190" spans="1:4" x14ac:dyDescent="0.2">
      <c r="A190">
        <v>38177</v>
      </c>
      <c r="B190" t="s">
        <v>15</v>
      </c>
      <c r="C190" t="s">
        <v>27</v>
      </c>
      <c r="D190" t="s">
        <v>278</v>
      </c>
    </row>
    <row r="191" spans="1:4" x14ac:dyDescent="0.2">
      <c r="A191">
        <v>25942</v>
      </c>
      <c r="B191" t="s">
        <v>13</v>
      </c>
      <c r="C191" t="s">
        <v>19</v>
      </c>
      <c r="D191" t="s">
        <v>50</v>
      </c>
    </row>
    <row r="192" spans="1:4" x14ac:dyDescent="0.2">
      <c r="A192">
        <v>25942</v>
      </c>
      <c r="B192" t="s">
        <v>14</v>
      </c>
      <c r="C192" t="s">
        <v>30</v>
      </c>
      <c r="D192" t="s">
        <v>231</v>
      </c>
    </row>
    <row r="193" spans="1:4" x14ac:dyDescent="0.2">
      <c r="A193">
        <v>25942</v>
      </c>
      <c r="B193" t="s">
        <v>15</v>
      </c>
      <c r="C193" t="s">
        <v>27</v>
      </c>
      <c r="D193" t="s">
        <v>203</v>
      </c>
    </row>
    <row r="194" spans="1:4" x14ac:dyDescent="0.2">
      <c r="A194">
        <v>43049</v>
      </c>
      <c r="B194" t="s">
        <v>13</v>
      </c>
      <c r="C194" t="s">
        <v>19</v>
      </c>
      <c r="D194" t="s">
        <v>272</v>
      </c>
    </row>
    <row r="195" spans="1:4" x14ac:dyDescent="0.2">
      <c r="A195">
        <v>43049</v>
      </c>
      <c r="B195" t="s">
        <v>14</v>
      </c>
      <c r="C195" t="s">
        <v>30</v>
      </c>
      <c r="D195" t="s">
        <v>231</v>
      </c>
    </row>
    <row r="196" spans="1:4" x14ac:dyDescent="0.2">
      <c r="A196">
        <v>43049</v>
      </c>
      <c r="B196" t="s">
        <v>15</v>
      </c>
      <c r="C196" t="s">
        <v>27</v>
      </c>
      <c r="D196" t="s">
        <v>274</v>
      </c>
    </row>
    <row r="197" spans="1:4" x14ac:dyDescent="0.2">
      <c r="A197">
        <v>13272</v>
      </c>
      <c r="B197" t="s">
        <v>13</v>
      </c>
      <c r="C197" t="s">
        <v>19</v>
      </c>
      <c r="D197" t="s">
        <v>170</v>
      </c>
    </row>
    <row r="198" spans="1:4" x14ac:dyDescent="0.2">
      <c r="A198">
        <v>13272</v>
      </c>
      <c r="B198" t="s">
        <v>14</v>
      </c>
      <c r="C198" t="s">
        <v>30</v>
      </c>
      <c r="D198" t="s">
        <v>50</v>
      </c>
    </row>
    <row r="199" spans="1:4" x14ac:dyDescent="0.2">
      <c r="A199">
        <v>13272</v>
      </c>
      <c r="B199" t="s">
        <v>15</v>
      </c>
      <c r="C199" t="s">
        <v>27</v>
      </c>
      <c r="D199" t="s">
        <v>55</v>
      </c>
    </row>
    <row r="200" spans="1:4" x14ac:dyDescent="0.2">
      <c r="A200">
        <v>19375</v>
      </c>
      <c r="B200" t="s">
        <v>13</v>
      </c>
      <c r="C200" t="s">
        <v>19</v>
      </c>
      <c r="D200" t="s">
        <v>211</v>
      </c>
    </row>
    <row r="201" spans="1:4" x14ac:dyDescent="0.2">
      <c r="A201">
        <v>19375</v>
      </c>
      <c r="B201" t="s">
        <v>14</v>
      </c>
      <c r="C201" t="s">
        <v>30</v>
      </c>
      <c r="D201" t="s">
        <v>279</v>
      </c>
    </row>
    <row r="202" spans="1:4" x14ac:dyDescent="0.2">
      <c r="A202">
        <v>19375</v>
      </c>
      <c r="B202" t="s">
        <v>15</v>
      </c>
      <c r="C202" t="s">
        <v>27</v>
      </c>
      <c r="D202" t="s">
        <v>258</v>
      </c>
    </row>
    <row r="203" spans="1:4" x14ac:dyDescent="0.2">
      <c r="A203">
        <v>8699</v>
      </c>
      <c r="B203" t="s">
        <v>13</v>
      </c>
      <c r="C203" t="s">
        <v>19</v>
      </c>
      <c r="D203" t="s">
        <v>254</v>
      </c>
    </row>
    <row r="204" spans="1:4" x14ac:dyDescent="0.2">
      <c r="A204">
        <v>8699</v>
      </c>
      <c r="B204" t="s">
        <v>14</v>
      </c>
      <c r="C204" t="s">
        <v>30</v>
      </c>
      <c r="D204" t="s">
        <v>205</v>
      </c>
    </row>
    <row r="205" spans="1:4" x14ac:dyDescent="0.2">
      <c r="A205">
        <v>8699</v>
      </c>
      <c r="B205" t="s">
        <v>15</v>
      </c>
      <c r="C205" t="s">
        <v>27</v>
      </c>
      <c r="D205" t="s">
        <v>268</v>
      </c>
    </row>
    <row r="206" spans="1:4" x14ac:dyDescent="0.2">
      <c r="A206">
        <v>55852</v>
      </c>
      <c r="B206" t="s">
        <v>13</v>
      </c>
      <c r="C206" t="s">
        <v>19</v>
      </c>
      <c r="D206" t="s">
        <v>229</v>
      </c>
    </row>
    <row r="207" spans="1:4" x14ac:dyDescent="0.2">
      <c r="A207">
        <v>55852</v>
      </c>
      <c r="B207" t="s">
        <v>14</v>
      </c>
      <c r="C207" t="s">
        <v>40</v>
      </c>
      <c r="D207" t="s">
        <v>196</v>
      </c>
    </row>
    <row r="208" spans="1:4" x14ac:dyDescent="0.2">
      <c r="A208">
        <v>55852</v>
      </c>
      <c r="B208" t="s">
        <v>15</v>
      </c>
      <c r="C208" t="s">
        <v>27</v>
      </c>
      <c r="D208" t="s">
        <v>249</v>
      </c>
    </row>
    <row r="209" spans="1:4" x14ac:dyDescent="0.2">
      <c r="A209">
        <v>41615</v>
      </c>
      <c r="B209" t="s">
        <v>13</v>
      </c>
      <c r="C209" t="s">
        <v>19</v>
      </c>
      <c r="D209" t="s">
        <v>170</v>
      </c>
    </row>
    <row r="210" spans="1:4" x14ac:dyDescent="0.2">
      <c r="A210">
        <v>41615</v>
      </c>
      <c r="B210" t="s">
        <v>14</v>
      </c>
      <c r="C210" t="s">
        <v>30</v>
      </c>
      <c r="D210" t="s">
        <v>226</v>
      </c>
    </row>
    <row r="211" spans="1:4" x14ac:dyDescent="0.2">
      <c r="A211">
        <v>41615</v>
      </c>
      <c r="B211" t="s">
        <v>15</v>
      </c>
      <c r="C211" t="s">
        <v>27</v>
      </c>
      <c r="D211" t="s">
        <v>280</v>
      </c>
    </row>
    <row r="212" spans="1:4" x14ac:dyDescent="0.2">
      <c r="A212">
        <v>24527</v>
      </c>
      <c r="B212" t="s">
        <v>13</v>
      </c>
      <c r="C212" t="s">
        <v>19</v>
      </c>
      <c r="D212" t="s">
        <v>259</v>
      </c>
    </row>
    <row r="213" spans="1:4" x14ac:dyDescent="0.2">
      <c r="A213">
        <v>24527</v>
      </c>
      <c r="B213" t="s">
        <v>14</v>
      </c>
      <c r="C213" t="s">
        <v>30</v>
      </c>
      <c r="D213" t="s">
        <v>232</v>
      </c>
    </row>
    <row r="214" spans="1:4" x14ac:dyDescent="0.2">
      <c r="A214">
        <v>24527</v>
      </c>
      <c r="B214" t="s">
        <v>15</v>
      </c>
      <c r="C214" t="s">
        <v>27</v>
      </c>
      <c r="D214" t="s">
        <v>281</v>
      </c>
    </row>
    <row r="215" spans="1:4" x14ac:dyDescent="0.2">
      <c r="A215">
        <v>30981</v>
      </c>
      <c r="B215" t="s">
        <v>13</v>
      </c>
      <c r="C215" t="s">
        <v>19</v>
      </c>
      <c r="D215" t="s">
        <v>252</v>
      </c>
    </row>
    <row r="216" spans="1:4" x14ac:dyDescent="0.2">
      <c r="A216">
        <v>30981</v>
      </c>
      <c r="B216" t="s">
        <v>14</v>
      </c>
      <c r="C216" t="s">
        <v>154</v>
      </c>
      <c r="D216" t="s">
        <v>183</v>
      </c>
    </row>
    <row r="217" spans="1:4" x14ac:dyDescent="0.2">
      <c r="A217">
        <v>30981</v>
      </c>
      <c r="B217" t="s">
        <v>15</v>
      </c>
      <c r="C217" t="s">
        <v>27</v>
      </c>
      <c r="D217" t="s">
        <v>55</v>
      </c>
    </row>
    <row r="218" spans="1:4" x14ac:dyDescent="0.2">
      <c r="A218">
        <v>87584</v>
      </c>
      <c r="B218" t="s">
        <v>13</v>
      </c>
      <c r="C218" t="s">
        <v>19</v>
      </c>
      <c r="D218" t="s">
        <v>74</v>
      </c>
    </row>
    <row r="219" spans="1:4" x14ac:dyDescent="0.2">
      <c r="A219">
        <v>87584</v>
      </c>
      <c r="B219" t="s">
        <v>14</v>
      </c>
      <c r="C219" t="s">
        <v>48</v>
      </c>
      <c r="D219" t="s">
        <v>282</v>
      </c>
    </row>
    <row r="220" spans="1:4" x14ac:dyDescent="0.2">
      <c r="A220">
        <v>87584</v>
      </c>
      <c r="B220" t="s">
        <v>15</v>
      </c>
      <c r="C220" t="s">
        <v>27</v>
      </c>
      <c r="D220" t="s">
        <v>283</v>
      </c>
    </row>
    <row r="221" spans="1:4" x14ac:dyDescent="0.2">
      <c r="A221">
        <v>36653</v>
      </c>
      <c r="B221" t="s">
        <v>13</v>
      </c>
      <c r="C221" t="s">
        <v>19</v>
      </c>
      <c r="D221" t="s">
        <v>24</v>
      </c>
    </row>
    <row r="222" spans="1:4" x14ac:dyDescent="0.2">
      <c r="A222">
        <v>36653</v>
      </c>
      <c r="B222" t="s">
        <v>14</v>
      </c>
      <c r="C222" t="s">
        <v>40</v>
      </c>
      <c r="D222" t="s">
        <v>284</v>
      </c>
    </row>
    <row r="223" spans="1:4" x14ac:dyDescent="0.2">
      <c r="A223">
        <v>36653</v>
      </c>
      <c r="B223" t="s">
        <v>15</v>
      </c>
      <c r="C223" t="s">
        <v>27</v>
      </c>
      <c r="D223" t="s">
        <v>285</v>
      </c>
    </row>
    <row r="224" spans="1:4" x14ac:dyDescent="0.2">
      <c r="A224">
        <v>49149</v>
      </c>
      <c r="B224" t="s">
        <v>13</v>
      </c>
      <c r="C224" t="s">
        <v>19</v>
      </c>
      <c r="D224" t="s">
        <v>215</v>
      </c>
    </row>
    <row r="225" spans="1:4" x14ac:dyDescent="0.2">
      <c r="A225">
        <v>49149</v>
      </c>
      <c r="B225" t="s">
        <v>14</v>
      </c>
      <c r="C225" t="s">
        <v>30</v>
      </c>
      <c r="D225" t="s">
        <v>61</v>
      </c>
    </row>
    <row r="226" spans="1:4" x14ac:dyDescent="0.2">
      <c r="A226">
        <v>49149</v>
      </c>
      <c r="B226" t="s">
        <v>15</v>
      </c>
      <c r="C226" t="s">
        <v>27</v>
      </c>
      <c r="D226" t="s">
        <v>286</v>
      </c>
    </row>
    <row r="227" spans="1:4" x14ac:dyDescent="0.2">
      <c r="A227">
        <v>11158</v>
      </c>
      <c r="B227" t="s">
        <v>13</v>
      </c>
      <c r="C227" t="s">
        <v>19</v>
      </c>
      <c r="D227" t="s">
        <v>287</v>
      </c>
    </row>
    <row r="228" spans="1:4" x14ac:dyDescent="0.2">
      <c r="A228">
        <v>11158</v>
      </c>
      <c r="B228" t="s">
        <v>14</v>
      </c>
      <c r="C228" t="s">
        <v>30</v>
      </c>
      <c r="D228" t="s">
        <v>172</v>
      </c>
    </row>
    <row r="229" spans="1:4" x14ac:dyDescent="0.2">
      <c r="A229">
        <v>11158</v>
      </c>
      <c r="B229" t="s">
        <v>15</v>
      </c>
      <c r="C229" t="s">
        <v>27</v>
      </c>
      <c r="D229" t="s">
        <v>55</v>
      </c>
    </row>
    <row r="230" spans="1:4" x14ac:dyDescent="0.2">
      <c r="A230">
        <v>98652</v>
      </c>
      <c r="B230" t="s">
        <v>13</v>
      </c>
      <c r="C230" t="s">
        <v>19</v>
      </c>
      <c r="D230" t="s">
        <v>158</v>
      </c>
    </row>
    <row r="231" spans="1:4" x14ac:dyDescent="0.2">
      <c r="A231">
        <v>98652</v>
      </c>
      <c r="B231" t="s">
        <v>14</v>
      </c>
      <c r="C231" t="s">
        <v>30</v>
      </c>
      <c r="D231" t="s">
        <v>228</v>
      </c>
    </row>
    <row r="232" spans="1:4" x14ac:dyDescent="0.2">
      <c r="A232">
        <v>98652</v>
      </c>
      <c r="B232" t="s">
        <v>15</v>
      </c>
      <c r="C232" t="s">
        <v>27</v>
      </c>
      <c r="D232" t="s">
        <v>288</v>
      </c>
    </row>
    <row r="233" spans="1:4" x14ac:dyDescent="0.2">
      <c r="A233">
        <v>23381</v>
      </c>
      <c r="B233" t="s">
        <v>13</v>
      </c>
      <c r="C233" t="s">
        <v>19</v>
      </c>
      <c r="D233" t="s">
        <v>289</v>
      </c>
    </row>
    <row r="234" spans="1:4" x14ac:dyDescent="0.2">
      <c r="A234">
        <v>23381</v>
      </c>
      <c r="B234" t="s">
        <v>14</v>
      </c>
      <c r="C234" t="s">
        <v>30</v>
      </c>
      <c r="D234" t="s">
        <v>207</v>
      </c>
    </row>
    <row r="235" spans="1:4" x14ac:dyDescent="0.2">
      <c r="A235">
        <v>23381</v>
      </c>
      <c r="B235" t="s">
        <v>15</v>
      </c>
      <c r="C235" t="s">
        <v>27</v>
      </c>
      <c r="D235" t="s">
        <v>203</v>
      </c>
    </row>
    <row r="236" spans="1:4" x14ac:dyDescent="0.2">
      <c r="A236">
        <v>64911</v>
      </c>
      <c r="B236" t="s">
        <v>13</v>
      </c>
      <c r="C236" t="s">
        <v>19</v>
      </c>
      <c r="D236" t="s">
        <v>55</v>
      </c>
    </row>
    <row r="237" spans="1:4" x14ac:dyDescent="0.2">
      <c r="A237">
        <v>64911</v>
      </c>
      <c r="B237" t="s">
        <v>14</v>
      </c>
      <c r="C237" t="s">
        <v>30</v>
      </c>
      <c r="D237" t="s">
        <v>263</v>
      </c>
    </row>
    <row r="238" spans="1:4" x14ac:dyDescent="0.2">
      <c r="A238">
        <v>64911</v>
      </c>
      <c r="B238" t="s">
        <v>15</v>
      </c>
      <c r="C238" t="s">
        <v>27</v>
      </c>
      <c r="D238" t="s">
        <v>55</v>
      </c>
    </row>
    <row r="239" spans="1:4" x14ac:dyDescent="0.2">
      <c r="A239">
        <v>31294</v>
      </c>
      <c r="B239" t="s">
        <v>13</v>
      </c>
      <c r="C239" t="s">
        <v>19</v>
      </c>
      <c r="D239" t="s">
        <v>234</v>
      </c>
    </row>
    <row r="240" spans="1:4" x14ac:dyDescent="0.2">
      <c r="A240">
        <v>31294</v>
      </c>
      <c r="B240" t="s">
        <v>14</v>
      </c>
      <c r="C240" t="s">
        <v>21</v>
      </c>
      <c r="D240" t="s">
        <v>196</v>
      </c>
    </row>
    <row r="241" spans="1:4" x14ac:dyDescent="0.2">
      <c r="A241">
        <v>31294</v>
      </c>
      <c r="B241" t="s">
        <v>15</v>
      </c>
      <c r="C241" t="s">
        <v>27</v>
      </c>
      <c r="D241" t="s">
        <v>290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582A-B251-784C-8F28-03E11D227C97}">
  <dimension ref="A1:D241"/>
  <sheetViews>
    <sheetView workbookViewId="0">
      <selection activeCell="A2" sqref="A2:D241"/>
    </sheetView>
  </sheetViews>
  <sheetFormatPr baseColWidth="10" defaultRowHeight="16" x14ac:dyDescent="0.2"/>
  <cols>
    <col min="1" max="1" width="8.6640625" bestFit="1" customWidth="1"/>
    <col min="2" max="2" width="13" bestFit="1" customWidth="1"/>
    <col min="3" max="3" width="16.83203125" bestFit="1" customWidth="1"/>
    <col min="4" max="4" width="18.33203125" bestFit="1" customWidth="1"/>
  </cols>
  <sheetData>
    <row r="1" spans="1:4" x14ac:dyDescent="0.2">
      <c r="A1" t="s">
        <v>18</v>
      </c>
      <c r="B1" t="s">
        <v>10</v>
      </c>
      <c r="C1" t="s">
        <v>11</v>
      </c>
      <c r="D1" t="s">
        <v>12</v>
      </c>
    </row>
    <row r="2" spans="1:4" x14ac:dyDescent="0.2">
      <c r="A2">
        <v>81612</v>
      </c>
      <c r="B2" t="s">
        <v>13</v>
      </c>
      <c r="C2" t="s">
        <v>19</v>
      </c>
      <c r="D2" t="s">
        <v>20</v>
      </c>
    </row>
    <row r="3" spans="1:4" x14ac:dyDescent="0.2">
      <c r="A3">
        <v>81612</v>
      </c>
      <c r="B3" t="s">
        <v>14</v>
      </c>
      <c r="C3" t="s">
        <v>21</v>
      </c>
      <c r="D3" t="s">
        <v>22</v>
      </c>
    </row>
    <row r="4" spans="1:4" x14ac:dyDescent="0.2">
      <c r="A4">
        <v>81612</v>
      </c>
      <c r="B4" t="s">
        <v>15</v>
      </c>
      <c r="C4" t="s">
        <v>23</v>
      </c>
      <c r="D4" t="s">
        <v>24</v>
      </c>
    </row>
    <row r="5" spans="1:4" x14ac:dyDescent="0.2">
      <c r="A5">
        <v>71488</v>
      </c>
      <c r="B5" t="s">
        <v>13</v>
      </c>
      <c r="C5" t="s">
        <v>19</v>
      </c>
      <c r="D5" t="s">
        <v>25</v>
      </c>
    </row>
    <row r="6" spans="1:4" x14ac:dyDescent="0.2">
      <c r="A6">
        <v>71488</v>
      </c>
      <c r="B6" t="s">
        <v>14</v>
      </c>
      <c r="C6" t="s">
        <v>21</v>
      </c>
      <c r="D6" t="s">
        <v>26</v>
      </c>
    </row>
    <row r="7" spans="1:4" x14ac:dyDescent="0.2">
      <c r="A7">
        <v>71488</v>
      </c>
      <c r="B7" t="s">
        <v>15</v>
      </c>
      <c r="C7" t="s">
        <v>27</v>
      </c>
      <c r="D7" t="s">
        <v>28</v>
      </c>
    </row>
    <row r="8" spans="1:4" x14ac:dyDescent="0.2">
      <c r="A8">
        <v>49915</v>
      </c>
      <c r="B8" t="s">
        <v>13</v>
      </c>
      <c r="C8" t="s">
        <v>19</v>
      </c>
      <c r="D8" t="s">
        <v>29</v>
      </c>
    </row>
    <row r="9" spans="1:4" x14ac:dyDescent="0.2">
      <c r="A9">
        <v>49915</v>
      </c>
      <c r="B9" t="s">
        <v>14</v>
      </c>
      <c r="C9" t="s">
        <v>30</v>
      </c>
      <c r="D9" t="s">
        <v>31</v>
      </c>
    </row>
    <row r="10" spans="1:4" x14ac:dyDescent="0.2">
      <c r="A10">
        <v>49915</v>
      </c>
      <c r="B10" t="s">
        <v>15</v>
      </c>
      <c r="C10" t="s">
        <v>27</v>
      </c>
      <c r="D10" t="s">
        <v>32</v>
      </c>
    </row>
    <row r="11" spans="1:4" x14ac:dyDescent="0.2">
      <c r="A11">
        <v>19051</v>
      </c>
      <c r="B11" t="s">
        <v>13</v>
      </c>
      <c r="C11" t="s">
        <v>19</v>
      </c>
      <c r="D11" t="s">
        <v>33</v>
      </c>
    </row>
    <row r="12" spans="1:4" x14ac:dyDescent="0.2">
      <c r="A12">
        <v>19051</v>
      </c>
      <c r="B12" t="s">
        <v>14</v>
      </c>
      <c r="C12" t="s">
        <v>30</v>
      </c>
      <c r="D12" t="s">
        <v>34</v>
      </c>
    </row>
    <row r="13" spans="1:4" x14ac:dyDescent="0.2">
      <c r="A13">
        <v>19051</v>
      </c>
      <c r="B13" t="s">
        <v>15</v>
      </c>
      <c r="C13" t="s">
        <v>27</v>
      </c>
      <c r="D13" t="s">
        <v>35</v>
      </c>
    </row>
    <row r="14" spans="1:4" x14ac:dyDescent="0.2">
      <c r="A14">
        <v>21591</v>
      </c>
      <c r="B14" t="s">
        <v>13</v>
      </c>
      <c r="C14" t="s">
        <v>19</v>
      </c>
      <c r="D14" t="s">
        <v>36</v>
      </c>
    </row>
    <row r="15" spans="1:4" x14ac:dyDescent="0.2">
      <c r="A15">
        <v>21591</v>
      </c>
      <c r="B15" t="s">
        <v>14</v>
      </c>
      <c r="C15" t="s">
        <v>30</v>
      </c>
      <c r="D15" t="s">
        <v>37</v>
      </c>
    </row>
    <row r="16" spans="1:4" x14ac:dyDescent="0.2">
      <c r="A16">
        <v>21591</v>
      </c>
      <c r="B16" t="s">
        <v>15</v>
      </c>
      <c r="C16" t="s">
        <v>27</v>
      </c>
      <c r="D16" t="s">
        <v>38</v>
      </c>
    </row>
    <row r="17" spans="1:4" x14ac:dyDescent="0.2">
      <c r="A17">
        <v>1840</v>
      </c>
      <c r="B17" t="s">
        <v>13</v>
      </c>
      <c r="C17" t="s">
        <v>19</v>
      </c>
      <c r="D17" t="s">
        <v>39</v>
      </c>
    </row>
    <row r="18" spans="1:4" x14ac:dyDescent="0.2">
      <c r="A18">
        <v>1840</v>
      </c>
      <c r="B18" t="s">
        <v>14</v>
      </c>
      <c r="C18" t="s">
        <v>40</v>
      </c>
      <c r="D18" t="s">
        <v>41</v>
      </c>
    </row>
    <row r="19" spans="1:4" x14ac:dyDescent="0.2">
      <c r="A19">
        <v>1840</v>
      </c>
      <c r="B19" t="s">
        <v>15</v>
      </c>
      <c r="C19" t="s">
        <v>27</v>
      </c>
      <c r="D19" t="s">
        <v>42</v>
      </c>
    </row>
    <row r="20" spans="1:4" x14ac:dyDescent="0.2">
      <c r="A20">
        <v>5917</v>
      </c>
      <c r="B20" t="s">
        <v>13</v>
      </c>
      <c r="C20" t="s">
        <v>19</v>
      </c>
      <c r="D20" t="s">
        <v>43</v>
      </c>
    </row>
    <row r="21" spans="1:4" x14ac:dyDescent="0.2">
      <c r="A21">
        <v>5917</v>
      </c>
      <c r="B21" t="s">
        <v>14</v>
      </c>
      <c r="C21" t="s">
        <v>44</v>
      </c>
      <c r="D21" t="s">
        <v>45</v>
      </c>
    </row>
    <row r="22" spans="1:4" x14ac:dyDescent="0.2">
      <c r="A22">
        <v>5917</v>
      </c>
      <c r="B22" t="s">
        <v>15</v>
      </c>
      <c r="C22" t="s">
        <v>27</v>
      </c>
      <c r="D22" t="s">
        <v>46</v>
      </c>
    </row>
    <row r="23" spans="1:4" x14ac:dyDescent="0.2">
      <c r="A23">
        <v>77965</v>
      </c>
      <c r="B23" t="s">
        <v>13</v>
      </c>
      <c r="C23" t="s">
        <v>19</v>
      </c>
      <c r="D23" t="s">
        <v>47</v>
      </c>
    </row>
    <row r="24" spans="1:4" x14ac:dyDescent="0.2">
      <c r="A24">
        <v>77965</v>
      </c>
      <c r="B24" t="s">
        <v>14</v>
      </c>
      <c r="C24" t="s">
        <v>48</v>
      </c>
      <c r="D24" t="s">
        <v>49</v>
      </c>
    </row>
    <row r="25" spans="1:4" x14ac:dyDescent="0.2">
      <c r="A25">
        <v>77965</v>
      </c>
      <c r="B25" t="s">
        <v>15</v>
      </c>
      <c r="C25" t="s">
        <v>27</v>
      </c>
      <c r="D25" t="s">
        <v>50</v>
      </c>
    </row>
    <row r="26" spans="1:4" x14ac:dyDescent="0.2">
      <c r="A26">
        <v>69188</v>
      </c>
      <c r="B26" t="s">
        <v>13</v>
      </c>
      <c r="C26" t="s">
        <v>19</v>
      </c>
      <c r="D26" t="s">
        <v>51</v>
      </c>
    </row>
    <row r="27" spans="1:4" x14ac:dyDescent="0.2">
      <c r="A27">
        <v>69188</v>
      </c>
      <c r="B27" t="s">
        <v>14</v>
      </c>
      <c r="C27" t="s">
        <v>30</v>
      </c>
      <c r="D27" t="s">
        <v>52</v>
      </c>
    </row>
    <row r="28" spans="1:4" x14ac:dyDescent="0.2">
      <c r="A28">
        <v>69188</v>
      </c>
      <c r="B28" t="s">
        <v>15</v>
      </c>
      <c r="C28" t="s">
        <v>27</v>
      </c>
      <c r="D28" t="s">
        <v>53</v>
      </c>
    </row>
    <row r="29" spans="1:4" x14ac:dyDescent="0.2">
      <c r="A29">
        <v>17290</v>
      </c>
      <c r="B29" t="s">
        <v>13</v>
      </c>
      <c r="C29" t="s">
        <v>19</v>
      </c>
      <c r="D29" t="s">
        <v>36</v>
      </c>
    </row>
    <row r="30" spans="1:4" x14ac:dyDescent="0.2">
      <c r="A30">
        <v>17290</v>
      </c>
      <c r="B30" t="s">
        <v>14</v>
      </c>
      <c r="C30" t="s">
        <v>30</v>
      </c>
      <c r="D30" t="s">
        <v>54</v>
      </c>
    </row>
    <row r="31" spans="1:4" x14ac:dyDescent="0.2">
      <c r="A31">
        <v>17290</v>
      </c>
      <c r="B31" t="s">
        <v>15</v>
      </c>
      <c r="C31" t="s">
        <v>27</v>
      </c>
      <c r="D31" t="s">
        <v>55</v>
      </c>
    </row>
    <row r="32" spans="1:4" x14ac:dyDescent="0.2">
      <c r="A32">
        <v>17214</v>
      </c>
      <c r="B32" t="s">
        <v>13</v>
      </c>
      <c r="C32" t="s">
        <v>19</v>
      </c>
      <c r="D32" t="s">
        <v>56</v>
      </c>
    </row>
    <row r="33" spans="1:4" x14ac:dyDescent="0.2">
      <c r="A33">
        <v>17214</v>
      </c>
      <c r="B33" t="s">
        <v>14</v>
      </c>
      <c r="C33" t="s">
        <v>30</v>
      </c>
      <c r="D33" t="s">
        <v>57</v>
      </c>
    </row>
    <row r="34" spans="1:4" x14ac:dyDescent="0.2">
      <c r="A34">
        <v>17214</v>
      </c>
      <c r="B34" t="s">
        <v>15</v>
      </c>
      <c r="C34" t="s">
        <v>27</v>
      </c>
      <c r="D34" t="s">
        <v>58</v>
      </c>
    </row>
    <row r="35" spans="1:4" x14ac:dyDescent="0.2">
      <c r="A35">
        <v>36379</v>
      </c>
      <c r="B35" t="s">
        <v>13</v>
      </c>
      <c r="C35" t="s">
        <v>19</v>
      </c>
      <c r="D35" t="s">
        <v>59</v>
      </c>
    </row>
    <row r="36" spans="1:4" x14ac:dyDescent="0.2">
      <c r="A36">
        <v>36379</v>
      </c>
      <c r="B36" t="s">
        <v>14</v>
      </c>
      <c r="C36" t="s">
        <v>21</v>
      </c>
      <c r="D36" t="s">
        <v>60</v>
      </c>
    </row>
    <row r="37" spans="1:4" x14ac:dyDescent="0.2">
      <c r="A37">
        <v>36379</v>
      </c>
      <c r="B37" t="s">
        <v>15</v>
      </c>
      <c r="C37" t="s">
        <v>23</v>
      </c>
      <c r="D37" t="s">
        <v>61</v>
      </c>
    </row>
    <row r="38" spans="1:4" x14ac:dyDescent="0.2">
      <c r="A38">
        <v>65999</v>
      </c>
      <c r="B38" t="s">
        <v>13</v>
      </c>
      <c r="C38" t="s">
        <v>19</v>
      </c>
      <c r="D38" t="s">
        <v>62</v>
      </c>
    </row>
    <row r="39" spans="1:4" x14ac:dyDescent="0.2">
      <c r="A39">
        <v>65999</v>
      </c>
      <c r="B39" t="s">
        <v>14</v>
      </c>
      <c r="C39" t="s">
        <v>40</v>
      </c>
      <c r="D39" t="s">
        <v>63</v>
      </c>
    </row>
    <row r="40" spans="1:4" x14ac:dyDescent="0.2">
      <c r="A40">
        <v>65999</v>
      </c>
      <c r="B40" t="s">
        <v>15</v>
      </c>
      <c r="C40" t="s">
        <v>27</v>
      </c>
      <c r="D40" t="s">
        <v>64</v>
      </c>
    </row>
    <row r="41" spans="1:4" x14ac:dyDescent="0.2">
      <c r="A41">
        <v>27400</v>
      </c>
      <c r="B41" t="s">
        <v>13</v>
      </c>
      <c r="C41" t="s">
        <v>19</v>
      </c>
      <c r="D41" t="s">
        <v>36</v>
      </c>
    </row>
    <row r="42" spans="1:4" x14ac:dyDescent="0.2">
      <c r="A42">
        <v>27400</v>
      </c>
      <c r="B42" t="s">
        <v>14</v>
      </c>
      <c r="C42" t="s">
        <v>30</v>
      </c>
      <c r="D42" t="s">
        <v>65</v>
      </c>
    </row>
    <row r="43" spans="1:4" x14ac:dyDescent="0.2">
      <c r="A43">
        <v>27400</v>
      </c>
      <c r="B43" t="s">
        <v>15</v>
      </c>
      <c r="C43" t="s">
        <v>27</v>
      </c>
      <c r="D43" t="s">
        <v>66</v>
      </c>
    </row>
    <row r="44" spans="1:4" x14ac:dyDescent="0.2">
      <c r="A44">
        <v>1960</v>
      </c>
      <c r="B44" t="s">
        <v>13</v>
      </c>
      <c r="C44" t="s">
        <v>19</v>
      </c>
      <c r="D44" t="s">
        <v>67</v>
      </c>
    </row>
    <row r="45" spans="1:4" x14ac:dyDescent="0.2">
      <c r="A45">
        <v>1960</v>
      </c>
      <c r="B45" t="s">
        <v>14</v>
      </c>
      <c r="C45" t="s">
        <v>30</v>
      </c>
      <c r="D45" t="s">
        <v>68</v>
      </c>
    </row>
    <row r="46" spans="1:4" x14ac:dyDescent="0.2">
      <c r="A46">
        <v>1960</v>
      </c>
      <c r="B46" t="s">
        <v>15</v>
      </c>
      <c r="C46" t="s">
        <v>27</v>
      </c>
      <c r="D46" t="s">
        <v>69</v>
      </c>
    </row>
    <row r="47" spans="1:4" x14ac:dyDescent="0.2">
      <c r="A47">
        <v>54620</v>
      </c>
      <c r="B47" t="s">
        <v>13</v>
      </c>
      <c r="C47" t="s">
        <v>19</v>
      </c>
      <c r="D47" t="s">
        <v>70</v>
      </c>
    </row>
    <row r="48" spans="1:4" x14ac:dyDescent="0.2">
      <c r="A48">
        <v>54620</v>
      </c>
      <c r="B48" t="s">
        <v>14</v>
      </c>
      <c r="C48" t="s">
        <v>30</v>
      </c>
      <c r="D48" t="s">
        <v>71</v>
      </c>
    </row>
    <row r="49" spans="1:4" x14ac:dyDescent="0.2">
      <c r="A49">
        <v>54620</v>
      </c>
      <c r="B49" t="s">
        <v>15</v>
      </c>
      <c r="C49" t="s">
        <v>27</v>
      </c>
      <c r="D49" t="s">
        <v>72</v>
      </c>
    </row>
    <row r="50" spans="1:4" x14ac:dyDescent="0.2">
      <c r="A50">
        <v>34617</v>
      </c>
      <c r="B50" t="s">
        <v>13</v>
      </c>
      <c r="C50" t="s">
        <v>19</v>
      </c>
      <c r="D50" t="s">
        <v>73</v>
      </c>
    </row>
    <row r="51" spans="1:4" x14ac:dyDescent="0.2">
      <c r="A51">
        <v>34617</v>
      </c>
      <c r="B51" t="s">
        <v>14</v>
      </c>
      <c r="C51" t="s">
        <v>30</v>
      </c>
      <c r="D51" t="s">
        <v>74</v>
      </c>
    </row>
    <row r="52" spans="1:4" x14ac:dyDescent="0.2">
      <c r="A52">
        <v>34617</v>
      </c>
      <c r="B52" t="s">
        <v>15</v>
      </c>
      <c r="C52" t="s">
        <v>27</v>
      </c>
      <c r="D52" t="s">
        <v>75</v>
      </c>
    </row>
    <row r="53" spans="1:4" x14ac:dyDescent="0.2">
      <c r="A53">
        <v>53072</v>
      </c>
      <c r="B53" t="s">
        <v>13</v>
      </c>
      <c r="C53" t="s">
        <v>19</v>
      </c>
      <c r="D53" t="s">
        <v>76</v>
      </c>
    </row>
    <row r="54" spans="1:4" x14ac:dyDescent="0.2">
      <c r="A54">
        <v>53072</v>
      </c>
      <c r="B54" t="s">
        <v>14</v>
      </c>
      <c r="C54" t="s">
        <v>21</v>
      </c>
      <c r="D54" t="s">
        <v>77</v>
      </c>
    </row>
    <row r="55" spans="1:4" x14ac:dyDescent="0.2">
      <c r="A55">
        <v>53072</v>
      </c>
      <c r="B55" t="s">
        <v>15</v>
      </c>
      <c r="C55" t="s">
        <v>27</v>
      </c>
      <c r="D55" t="s">
        <v>78</v>
      </c>
    </row>
    <row r="56" spans="1:4" x14ac:dyDescent="0.2">
      <c r="A56">
        <v>71119</v>
      </c>
      <c r="B56" t="s">
        <v>13</v>
      </c>
      <c r="C56" t="s">
        <v>19</v>
      </c>
      <c r="D56" t="s">
        <v>79</v>
      </c>
    </row>
    <row r="57" spans="1:4" x14ac:dyDescent="0.2">
      <c r="A57">
        <v>71119</v>
      </c>
      <c r="B57" t="s">
        <v>14</v>
      </c>
      <c r="C57" t="s">
        <v>30</v>
      </c>
      <c r="D57" t="s">
        <v>80</v>
      </c>
    </row>
    <row r="58" spans="1:4" x14ac:dyDescent="0.2">
      <c r="A58">
        <v>71119</v>
      </c>
      <c r="B58" t="s">
        <v>15</v>
      </c>
      <c r="C58" t="s">
        <v>27</v>
      </c>
      <c r="D58" t="s">
        <v>81</v>
      </c>
    </row>
    <row r="59" spans="1:4" x14ac:dyDescent="0.2">
      <c r="A59">
        <v>82246</v>
      </c>
      <c r="B59" t="s">
        <v>13</v>
      </c>
      <c r="C59" t="s">
        <v>19</v>
      </c>
      <c r="D59" t="s">
        <v>70</v>
      </c>
    </row>
    <row r="60" spans="1:4" x14ac:dyDescent="0.2">
      <c r="A60">
        <v>82246</v>
      </c>
      <c r="B60" t="s">
        <v>14</v>
      </c>
      <c r="C60" t="s">
        <v>21</v>
      </c>
      <c r="D60" t="s">
        <v>82</v>
      </c>
    </row>
    <row r="61" spans="1:4" x14ac:dyDescent="0.2">
      <c r="A61">
        <v>82246</v>
      </c>
      <c r="B61" t="s">
        <v>15</v>
      </c>
      <c r="C61" t="s">
        <v>83</v>
      </c>
      <c r="D61" t="s">
        <v>84</v>
      </c>
    </row>
    <row r="62" spans="1:4" x14ac:dyDescent="0.2">
      <c r="A62">
        <v>85459</v>
      </c>
      <c r="B62" t="s">
        <v>13</v>
      </c>
      <c r="C62" t="s">
        <v>19</v>
      </c>
      <c r="D62" t="s">
        <v>85</v>
      </c>
    </row>
    <row r="63" spans="1:4" x14ac:dyDescent="0.2">
      <c r="A63">
        <v>85459</v>
      </c>
      <c r="B63" t="s">
        <v>14</v>
      </c>
      <c r="C63" t="s">
        <v>30</v>
      </c>
      <c r="D63" t="s">
        <v>86</v>
      </c>
    </row>
    <row r="64" spans="1:4" x14ac:dyDescent="0.2">
      <c r="A64">
        <v>85459</v>
      </c>
      <c r="B64" t="s">
        <v>15</v>
      </c>
      <c r="C64" t="s">
        <v>27</v>
      </c>
      <c r="D64" t="s">
        <v>87</v>
      </c>
    </row>
    <row r="65" spans="1:4" x14ac:dyDescent="0.2">
      <c r="A65">
        <v>83773</v>
      </c>
      <c r="B65" t="s">
        <v>13</v>
      </c>
      <c r="C65" t="s">
        <v>19</v>
      </c>
      <c r="D65" t="s">
        <v>88</v>
      </c>
    </row>
    <row r="66" spans="1:4" x14ac:dyDescent="0.2">
      <c r="A66">
        <v>83773</v>
      </c>
      <c r="B66" t="s">
        <v>14</v>
      </c>
      <c r="C66" t="s">
        <v>30</v>
      </c>
      <c r="D66" t="s">
        <v>41</v>
      </c>
    </row>
    <row r="67" spans="1:4" x14ac:dyDescent="0.2">
      <c r="A67">
        <v>83773</v>
      </c>
      <c r="B67" t="s">
        <v>15</v>
      </c>
      <c r="C67" t="s">
        <v>27</v>
      </c>
      <c r="D67" t="s">
        <v>80</v>
      </c>
    </row>
    <row r="68" spans="1:4" x14ac:dyDescent="0.2">
      <c r="A68">
        <v>24764</v>
      </c>
      <c r="B68" t="s">
        <v>13</v>
      </c>
      <c r="C68" t="s">
        <v>19</v>
      </c>
      <c r="D68" t="s">
        <v>89</v>
      </c>
    </row>
    <row r="69" spans="1:4" x14ac:dyDescent="0.2">
      <c r="A69">
        <v>24764</v>
      </c>
      <c r="B69" t="s">
        <v>14</v>
      </c>
      <c r="C69" t="s">
        <v>30</v>
      </c>
      <c r="D69" t="s">
        <v>90</v>
      </c>
    </row>
    <row r="70" spans="1:4" x14ac:dyDescent="0.2">
      <c r="A70">
        <v>24764</v>
      </c>
      <c r="B70" t="s">
        <v>15</v>
      </c>
      <c r="C70" t="s">
        <v>27</v>
      </c>
      <c r="D70" t="s">
        <v>91</v>
      </c>
    </row>
    <row r="71" spans="1:4" x14ac:dyDescent="0.2">
      <c r="A71">
        <v>75733</v>
      </c>
      <c r="B71" t="s">
        <v>13</v>
      </c>
      <c r="C71" t="s">
        <v>19</v>
      </c>
      <c r="D71" t="s">
        <v>62</v>
      </c>
    </row>
    <row r="72" spans="1:4" x14ac:dyDescent="0.2">
      <c r="A72">
        <v>75733</v>
      </c>
      <c r="B72" t="s">
        <v>14</v>
      </c>
      <c r="C72" t="s">
        <v>30</v>
      </c>
      <c r="D72" t="s">
        <v>92</v>
      </c>
    </row>
    <row r="73" spans="1:4" x14ac:dyDescent="0.2">
      <c r="A73">
        <v>75733</v>
      </c>
      <c r="B73" t="s">
        <v>15</v>
      </c>
      <c r="C73" t="s">
        <v>27</v>
      </c>
      <c r="D73" t="s">
        <v>69</v>
      </c>
    </row>
    <row r="74" spans="1:4" x14ac:dyDescent="0.2">
      <c r="A74">
        <v>558</v>
      </c>
      <c r="B74" t="s">
        <v>13</v>
      </c>
      <c r="C74" t="s">
        <v>19</v>
      </c>
      <c r="D74" t="s">
        <v>36</v>
      </c>
    </row>
    <row r="75" spans="1:4" x14ac:dyDescent="0.2">
      <c r="A75">
        <v>558</v>
      </c>
      <c r="B75" t="s">
        <v>14</v>
      </c>
      <c r="C75" t="s">
        <v>30</v>
      </c>
      <c r="D75" t="s">
        <v>93</v>
      </c>
    </row>
    <row r="76" spans="1:4" x14ac:dyDescent="0.2">
      <c r="A76">
        <v>558</v>
      </c>
      <c r="B76" t="s">
        <v>15</v>
      </c>
      <c r="C76" t="s">
        <v>27</v>
      </c>
      <c r="D76" t="s">
        <v>61</v>
      </c>
    </row>
    <row r="77" spans="1:4" x14ac:dyDescent="0.2">
      <c r="A77">
        <v>18533</v>
      </c>
      <c r="B77" t="s">
        <v>13</v>
      </c>
      <c r="C77" t="s">
        <v>19</v>
      </c>
      <c r="D77" t="s">
        <v>94</v>
      </c>
    </row>
    <row r="78" spans="1:4" x14ac:dyDescent="0.2">
      <c r="A78">
        <v>18533</v>
      </c>
      <c r="B78" t="s">
        <v>14</v>
      </c>
      <c r="C78" t="s">
        <v>30</v>
      </c>
      <c r="D78" t="s">
        <v>66</v>
      </c>
    </row>
    <row r="79" spans="1:4" x14ac:dyDescent="0.2">
      <c r="A79">
        <v>18533</v>
      </c>
      <c r="B79" t="s">
        <v>15</v>
      </c>
      <c r="C79" t="s">
        <v>27</v>
      </c>
      <c r="D79" t="s">
        <v>95</v>
      </c>
    </row>
    <row r="80" spans="1:4" x14ac:dyDescent="0.2">
      <c r="A80">
        <v>68559</v>
      </c>
      <c r="B80" t="s">
        <v>13</v>
      </c>
      <c r="C80" t="s">
        <v>19</v>
      </c>
      <c r="D80" t="s">
        <v>96</v>
      </c>
    </row>
    <row r="81" spans="1:4" x14ac:dyDescent="0.2">
      <c r="A81">
        <v>68559</v>
      </c>
      <c r="B81" t="s">
        <v>14</v>
      </c>
      <c r="C81" t="s">
        <v>30</v>
      </c>
      <c r="D81" t="s">
        <v>88</v>
      </c>
    </row>
    <row r="82" spans="1:4" x14ac:dyDescent="0.2">
      <c r="A82">
        <v>68559</v>
      </c>
      <c r="B82" t="s">
        <v>15</v>
      </c>
      <c r="C82" t="s">
        <v>27</v>
      </c>
      <c r="D82" t="s">
        <v>69</v>
      </c>
    </row>
    <row r="83" spans="1:4" x14ac:dyDescent="0.2">
      <c r="A83">
        <v>14709</v>
      </c>
      <c r="B83" t="s">
        <v>13</v>
      </c>
      <c r="C83" t="s">
        <v>19</v>
      </c>
      <c r="D83" t="s">
        <v>85</v>
      </c>
    </row>
    <row r="84" spans="1:4" x14ac:dyDescent="0.2">
      <c r="A84">
        <v>14709</v>
      </c>
      <c r="B84" t="s">
        <v>14</v>
      </c>
      <c r="C84" t="s">
        <v>30</v>
      </c>
      <c r="D84" t="s">
        <v>97</v>
      </c>
    </row>
    <row r="85" spans="1:4" x14ac:dyDescent="0.2">
      <c r="A85">
        <v>14709</v>
      </c>
      <c r="B85" t="s">
        <v>15</v>
      </c>
      <c r="C85" t="s">
        <v>27</v>
      </c>
      <c r="D85" t="s">
        <v>98</v>
      </c>
    </row>
    <row r="86" spans="1:4" x14ac:dyDescent="0.2">
      <c r="A86">
        <v>90726</v>
      </c>
      <c r="B86" t="s">
        <v>13</v>
      </c>
      <c r="C86" t="s">
        <v>19</v>
      </c>
      <c r="D86" t="s">
        <v>71</v>
      </c>
    </row>
    <row r="87" spans="1:4" x14ac:dyDescent="0.2">
      <c r="A87">
        <v>90726</v>
      </c>
      <c r="B87" t="s">
        <v>14</v>
      </c>
      <c r="C87" t="s">
        <v>30</v>
      </c>
      <c r="D87" t="s">
        <v>99</v>
      </c>
    </row>
    <row r="88" spans="1:4" x14ac:dyDescent="0.2">
      <c r="A88">
        <v>90726</v>
      </c>
      <c r="B88" t="s">
        <v>15</v>
      </c>
      <c r="C88" t="s">
        <v>27</v>
      </c>
      <c r="D88" t="s">
        <v>61</v>
      </c>
    </row>
    <row r="89" spans="1:4" x14ac:dyDescent="0.2">
      <c r="A89">
        <v>59016</v>
      </c>
      <c r="B89" t="s">
        <v>13</v>
      </c>
      <c r="C89" t="s">
        <v>19</v>
      </c>
      <c r="D89" t="s">
        <v>100</v>
      </c>
    </row>
    <row r="90" spans="1:4" x14ac:dyDescent="0.2">
      <c r="A90">
        <v>59016</v>
      </c>
      <c r="B90" t="s">
        <v>14</v>
      </c>
      <c r="C90" t="s">
        <v>30</v>
      </c>
      <c r="D90" t="s">
        <v>101</v>
      </c>
    </row>
    <row r="91" spans="1:4" x14ac:dyDescent="0.2">
      <c r="A91">
        <v>59016</v>
      </c>
      <c r="B91" t="s">
        <v>15</v>
      </c>
      <c r="C91" t="s">
        <v>27</v>
      </c>
      <c r="D91" t="s">
        <v>102</v>
      </c>
    </row>
    <row r="92" spans="1:4" x14ac:dyDescent="0.2">
      <c r="A92">
        <v>57966</v>
      </c>
      <c r="B92" t="s">
        <v>13</v>
      </c>
      <c r="C92" t="s">
        <v>19</v>
      </c>
      <c r="D92" t="s">
        <v>60</v>
      </c>
    </row>
    <row r="93" spans="1:4" x14ac:dyDescent="0.2">
      <c r="A93">
        <v>57966</v>
      </c>
      <c r="B93" t="s">
        <v>14</v>
      </c>
      <c r="C93" t="s">
        <v>30</v>
      </c>
      <c r="D93" t="s">
        <v>103</v>
      </c>
    </row>
    <row r="94" spans="1:4" x14ac:dyDescent="0.2">
      <c r="A94">
        <v>57966</v>
      </c>
      <c r="B94" t="s">
        <v>15</v>
      </c>
      <c r="C94" t="s">
        <v>27</v>
      </c>
      <c r="D94" t="s">
        <v>104</v>
      </c>
    </row>
    <row r="95" spans="1:4" x14ac:dyDescent="0.2">
      <c r="A95">
        <v>75222</v>
      </c>
      <c r="B95" t="s">
        <v>13</v>
      </c>
      <c r="C95" t="s">
        <v>19</v>
      </c>
      <c r="D95" t="s">
        <v>105</v>
      </c>
    </row>
    <row r="96" spans="1:4" x14ac:dyDescent="0.2">
      <c r="A96">
        <v>75222</v>
      </c>
      <c r="B96" t="s">
        <v>14</v>
      </c>
      <c r="C96" t="s">
        <v>30</v>
      </c>
      <c r="D96" t="s">
        <v>70</v>
      </c>
    </row>
    <row r="97" spans="1:4" x14ac:dyDescent="0.2">
      <c r="A97">
        <v>75222</v>
      </c>
      <c r="B97" t="s">
        <v>15</v>
      </c>
      <c r="C97" t="s">
        <v>27</v>
      </c>
      <c r="D97" t="s">
        <v>106</v>
      </c>
    </row>
    <row r="98" spans="1:4" x14ac:dyDescent="0.2">
      <c r="A98">
        <v>75496</v>
      </c>
      <c r="B98" t="s">
        <v>13</v>
      </c>
      <c r="C98" t="s">
        <v>19</v>
      </c>
      <c r="D98" t="s">
        <v>107</v>
      </c>
    </row>
    <row r="99" spans="1:4" x14ac:dyDescent="0.2">
      <c r="A99">
        <v>75496</v>
      </c>
      <c r="B99" t="s">
        <v>14</v>
      </c>
      <c r="C99" t="s">
        <v>30</v>
      </c>
      <c r="D99" t="s">
        <v>108</v>
      </c>
    </row>
    <row r="100" spans="1:4" x14ac:dyDescent="0.2">
      <c r="A100">
        <v>75496</v>
      </c>
      <c r="B100" t="s">
        <v>15</v>
      </c>
      <c r="C100" t="s">
        <v>27</v>
      </c>
      <c r="D100" t="s">
        <v>109</v>
      </c>
    </row>
    <row r="101" spans="1:4" x14ac:dyDescent="0.2">
      <c r="A101">
        <v>6155</v>
      </c>
      <c r="B101" t="s">
        <v>13</v>
      </c>
      <c r="C101" t="s">
        <v>19</v>
      </c>
      <c r="D101" t="s">
        <v>110</v>
      </c>
    </row>
    <row r="102" spans="1:4" x14ac:dyDescent="0.2">
      <c r="A102">
        <v>6155</v>
      </c>
      <c r="B102" t="s">
        <v>14</v>
      </c>
      <c r="C102" t="s">
        <v>30</v>
      </c>
      <c r="D102" t="s">
        <v>77</v>
      </c>
    </row>
    <row r="103" spans="1:4" x14ac:dyDescent="0.2">
      <c r="A103">
        <v>6155</v>
      </c>
      <c r="B103" t="s">
        <v>15</v>
      </c>
      <c r="C103" t="s">
        <v>27</v>
      </c>
      <c r="D103" t="s">
        <v>111</v>
      </c>
    </row>
    <row r="104" spans="1:4" x14ac:dyDescent="0.2">
      <c r="A104">
        <v>31391</v>
      </c>
      <c r="B104" t="s">
        <v>13</v>
      </c>
      <c r="C104" t="s">
        <v>19</v>
      </c>
      <c r="D104" t="s">
        <v>100</v>
      </c>
    </row>
    <row r="105" spans="1:4" x14ac:dyDescent="0.2">
      <c r="A105">
        <v>31391</v>
      </c>
      <c r="B105" t="s">
        <v>14</v>
      </c>
      <c r="C105" t="s">
        <v>30</v>
      </c>
      <c r="D105" t="s">
        <v>112</v>
      </c>
    </row>
    <row r="106" spans="1:4" x14ac:dyDescent="0.2">
      <c r="A106">
        <v>31391</v>
      </c>
      <c r="B106" t="s">
        <v>15</v>
      </c>
      <c r="C106" t="s">
        <v>27</v>
      </c>
      <c r="D106" t="s">
        <v>113</v>
      </c>
    </row>
    <row r="107" spans="1:4" x14ac:dyDescent="0.2">
      <c r="A107">
        <v>41781</v>
      </c>
      <c r="B107" t="s">
        <v>13</v>
      </c>
      <c r="C107" t="s">
        <v>19</v>
      </c>
      <c r="D107" t="s">
        <v>85</v>
      </c>
    </row>
    <row r="108" spans="1:4" x14ac:dyDescent="0.2">
      <c r="A108">
        <v>41781</v>
      </c>
      <c r="B108" t="s">
        <v>14</v>
      </c>
      <c r="C108" t="s">
        <v>30</v>
      </c>
      <c r="D108" t="s">
        <v>114</v>
      </c>
    </row>
    <row r="109" spans="1:4" x14ac:dyDescent="0.2">
      <c r="A109">
        <v>41781</v>
      </c>
      <c r="B109" t="s">
        <v>15</v>
      </c>
      <c r="C109" t="s">
        <v>27</v>
      </c>
      <c r="D109" t="s">
        <v>109</v>
      </c>
    </row>
    <row r="110" spans="1:4" x14ac:dyDescent="0.2">
      <c r="A110">
        <v>23426</v>
      </c>
      <c r="B110" t="s">
        <v>13</v>
      </c>
      <c r="C110" t="s">
        <v>19</v>
      </c>
      <c r="D110" t="s">
        <v>94</v>
      </c>
    </row>
    <row r="111" spans="1:4" x14ac:dyDescent="0.2">
      <c r="A111">
        <v>23426</v>
      </c>
      <c r="B111" t="s">
        <v>14</v>
      </c>
      <c r="C111" t="s">
        <v>30</v>
      </c>
      <c r="D111" t="s">
        <v>68</v>
      </c>
    </row>
    <row r="112" spans="1:4" x14ac:dyDescent="0.2">
      <c r="A112">
        <v>23426</v>
      </c>
      <c r="B112" t="s">
        <v>15</v>
      </c>
      <c r="C112" t="s">
        <v>27</v>
      </c>
      <c r="D112" t="s">
        <v>115</v>
      </c>
    </row>
    <row r="113" spans="1:4" x14ac:dyDescent="0.2">
      <c r="A113">
        <v>83540</v>
      </c>
      <c r="B113" t="s">
        <v>13</v>
      </c>
      <c r="C113" t="s">
        <v>19</v>
      </c>
      <c r="D113" t="s">
        <v>103</v>
      </c>
    </row>
    <row r="114" spans="1:4" x14ac:dyDescent="0.2">
      <c r="A114">
        <v>83540</v>
      </c>
      <c r="B114" t="s">
        <v>14</v>
      </c>
      <c r="C114" t="s">
        <v>30</v>
      </c>
      <c r="D114" t="s">
        <v>53</v>
      </c>
    </row>
    <row r="115" spans="1:4" x14ac:dyDescent="0.2">
      <c r="A115">
        <v>83540</v>
      </c>
      <c r="B115" t="s">
        <v>15</v>
      </c>
      <c r="C115" t="s">
        <v>27</v>
      </c>
      <c r="D115" t="s">
        <v>116</v>
      </c>
    </row>
    <row r="116" spans="1:4" x14ac:dyDescent="0.2">
      <c r="A116">
        <v>28296</v>
      </c>
      <c r="B116" t="s">
        <v>13</v>
      </c>
      <c r="C116" t="s">
        <v>19</v>
      </c>
      <c r="D116" t="s">
        <v>117</v>
      </c>
    </row>
    <row r="117" spans="1:4" x14ac:dyDescent="0.2">
      <c r="A117">
        <v>28296</v>
      </c>
      <c r="B117" t="s">
        <v>14</v>
      </c>
      <c r="C117" t="s">
        <v>48</v>
      </c>
      <c r="D117" t="s">
        <v>118</v>
      </c>
    </row>
    <row r="118" spans="1:4" x14ac:dyDescent="0.2">
      <c r="A118">
        <v>28296</v>
      </c>
      <c r="B118" t="s">
        <v>15</v>
      </c>
      <c r="C118" t="s">
        <v>27</v>
      </c>
      <c r="D118" t="s">
        <v>119</v>
      </c>
    </row>
    <row r="119" spans="1:4" x14ac:dyDescent="0.2">
      <c r="A119">
        <v>96580</v>
      </c>
      <c r="B119" t="s">
        <v>13</v>
      </c>
      <c r="C119" t="s">
        <v>19</v>
      </c>
      <c r="D119" t="s">
        <v>120</v>
      </c>
    </row>
    <row r="120" spans="1:4" x14ac:dyDescent="0.2">
      <c r="A120">
        <v>96580</v>
      </c>
      <c r="B120" t="s">
        <v>14</v>
      </c>
      <c r="C120" t="s">
        <v>30</v>
      </c>
      <c r="D120" t="s">
        <v>121</v>
      </c>
    </row>
    <row r="121" spans="1:4" x14ac:dyDescent="0.2">
      <c r="A121">
        <v>96580</v>
      </c>
      <c r="B121" t="s">
        <v>15</v>
      </c>
      <c r="C121" t="s">
        <v>27</v>
      </c>
      <c r="D121" t="s">
        <v>122</v>
      </c>
    </row>
    <row r="122" spans="1:4" x14ac:dyDescent="0.2">
      <c r="A122">
        <v>59954</v>
      </c>
      <c r="B122" t="s">
        <v>13</v>
      </c>
      <c r="C122" t="s">
        <v>19</v>
      </c>
      <c r="D122" t="s">
        <v>123</v>
      </c>
    </row>
    <row r="123" spans="1:4" x14ac:dyDescent="0.2">
      <c r="A123">
        <v>59954</v>
      </c>
      <c r="B123" t="s">
        <v>14</v>
      </c>
      <c r="C123" t="s">
        <v>124</v>
      </c>
      <c r="D123" t="s">
        <v>73</v>
      </c>
    </row>
    <row r="124" spans="1:4" x14ac:dyDescent="0.2">
      <c r="A124">
        <v>59954</v>
      </c>
      <c r="B124" t="s">
        <v>15</v>
      </c>
      <c r="C124" t="s">
        <v>27</v>
      </c>
      <c r="D124" t="s">
        <v>125</v>
      </c>
    </row>
    <row r="125" spans="1:4" x14ac:dyDescent="0.2">
      <c r="A125">
        <v>33575</v>
      </c>
      <c r="B125" t="s">
        <v>13</v>
      </c>
      <c r="C125" t="s">
        <v>19</v>
      </c>
      <c r="D125" t="s">
        <v>88</v>
      </c>
    </row>
    <row r="126" spans="1:4" x14ac:dyDescent="0.2">
      <c r="A126">
        <v>33575</v>
      </c>
      <c r="B126" t="s">
        <v>14</v>
      </c>
      <c r="C126" t="s">
        <v>30</v>
      </c>
      <c r="D126" t="s">
        <v>126</v>
      </c>
    </row>
    <row r="127" spans="1:4" x14ac:dyDescent="0.2">
      <c r="A127">
        <v>33575</v>
      </c>
      <c r="B127" t="s">
        <v>15</v>
      </c>
      <c r="C127" t="s">
        <v>27</v>
      </c>
      <c r="D127" t="s">
        <v>79</v>
      </c>
    </row>
    <row r="128" spans="1:4" x14ac:dyDescent="0.2">
      <c r="A128">
        <v>20635</v>
      </c>
      <c r="B128" t="s">
        <v>13</v>
      </c>
      <c r="C128" t="s">
        <v>19</v>
      </c>
      <c r="D128" t="s">
        <v>49</v>
      </c>
    </row>
    <row r="129" spans="1:4" x14ac:dyDescent="0.2">
      <c r="A129">
        <v>20635</v>
      </c>
      <c r="B129" t="s">
        <v>14</v>
      </c>
      <c r="C129" t="s">
        <v>21</v>
      </c>
      <c r="D129" t="s">
        <v>110</v>
      </c>
    </row>
    <row r="130" spans="1:4" x14ac:dyDescent="0.2">
      <c r="A130">
        <v>20635</v>
      </c>
      <c r="B130" t="s">
        <v>15</v>
      </c>
      <c r="C130" t="s">
        <v>27</v>
      </c>
      <c r="D130" t="s">
        <v>127</v>
      </c>
    </row>
    <row r="131" spans="1:4" x14ac:dyDescent="0.2">
      <c r="A131">
        <v>95014</v>
      </c>
      <c r="B131" t="s">
        <v>13</v>
      </c>
      <c r="C131" t="s">
        <v>19</v>
      </c>
      <c r="D131" t="s">
        <v>49</v>
      </c>
    </row>
    <row r="132" spans="1:4" x14ac:dyDescent="0.2">
      <c r="A132">
        <v>95014</v>
      </c>
      <c r="B132" t="s">
        <v>14</v>
      </c>
      <c r="C132" t="s">
        <v>30</v>
      </c>
      <c r="D132" t="s">
        <v>128</v>
      </c>
    </row>
    <row r="133" spans="1:4" x14ac:dyDescent="0.2">
      <c r="A133">
        <v>95014</v>
      </c>
      <c r="B133" t="s">
        <v>15</v>
      </c>
      <c r="C133" t="s">
        <v>27</v>
      </c>
      <c r="D133" t="s">
        <v>129</v>
      </c>
    </row>
    <row r="134" spans="1:4" x14ac:dyDescent="0.2">
      <c r="A134">
        <v>26819</v>
      </c>
      <c r="B134" t="s">
        <v>13</v>
      </c>
      <c r="C134" t="s">
        <v>19</v>
      </c>
      <c r="D134" t="s">
        <v>51</v>
      </c>
    </row>
    <row r="135" spans="1:4" x14ac:dyDescent="0.2">
      <c r="A135">
        <v>26819</v>
      </c>
      <c r="B135" t="s">
        <v>14</v>
      </c>
      <c r="C135" t="s">
        <v>30</v>
      </c>
      <c r="D135" t="s">
        <v>65</v>
      </c>
    </row>
    <row r="136" spans="1:4" x14ac:dyDescent="0.2">
      <c r="A136">
        <v>26819</v>
      </c>
      <c r="B136" t="s">
        <v>15</v>
      </c>
      <c r="C136" t="s">
        <v>27</v>
      </c>
      <c r="D136" t="s">
        <v>130</v>
      </c>
    </row>
    <row r="137" spans="1:4" x14ac:dyDescent="0.2">
      <c r="A137">
        <v>62970</v>
      </c>
      <c r="B137" t="s">
        <v>13</v>
      </c>
      <c r="C137" t="s">
        <v>19</v>
      </c>
      <c r="D137" t="s">
        <v>52</v>
      </c>
    </row>
    <row r="138" spans="1:4" x14ac:dyDescent="0.2">
      <c r="A138">
        <v>62970</v>
      </c>
      <c r="B138" t="s">
        <v>14</v>
      </c>
      <c r="C138" t="s">
        <v>30</v>
      </c>
      <c r="D138" t="s">
        <v>131</v>
      </c>
    </row>
    <row r="139" spans="1:4" x14ac:dyDescent="0.2">
      <c r="A139">
        <v>62970</v>
      </c>
      <c r="B139" t="s">
        <v>15</v>
      </c>
      <c r="C139" t="s">
        <v>27</v>
      </c>
      <c r="D139" t="s">
        <v>132</v>
      </c>
    </row>
    <row r="140" spans="1:4" x14ac:dyDescent="0.2">
      <c r="A140">
        <v>6575</v>
      </c>
      <c r="B140" t="s">
        <v>13</v>
      </c>
      <c r="C140" t="s">
        <v>19</v>
      </c>
      <c r="D140" t="s">
        <v>53</v>
      </c>
    </row>
    <row r="141" spans="1:4" x14ac:dyDescent="0.2">
      <c r="A141">
        <v>6575</v>
      </c>
      <c r="B141" t="s">
        <v>14</v>
      </c>
      <c r="C141" t="s">
        <v>48</v>
      </c>
      <c r="D141" t="s">
        <v>133</v>
      </c>
    </row>
    <row r="142" spans="1:4" x14ac:dyDescent="0.2">
      <c r="A142">
        <v>6575</v>
      </c>
      <c r="B142" t="s">
        <v>15</v>
      </c>
      <c r="C142" t="s">
        <v>27</v>
      </c>
      <c r="D142" t="s">
        <v>42</v>
      </c>
    </row>
    <row r="143" spans="1:4" x14ac:dyDescent="0.2">
      <c r="A143">
        <v>49398</v>
      </c>
      <c r="B143" t="s">
        <v>13</v>
      </c>
      <c r="C143" t="s">
        <v>19</v>
      </c>
      <c r="D143" t="s">
        <v>120</v>
      </c>
    </row>
    <row r="144" spans="1:4" x14ac:dyDescent="0.2">
      <c r="A144">
        <v>49398</v>
      </c>
      <c r="B144" t="s">
        <v>14</v>
      </c>
      <c r="C144" t="s">
        <v>30</v>
      </c>
      <c r="D144" t="s">
        <v>134</v>
      </c>
    </row>
    <row r="145" spans="1:4" x14ac:dyDescent="0.2">
      <c r="A145">
        <v>49398</v>
      </c>
      <c r="B145" t="s">
        <v>15</v>
      </c>
      <c r="C145" t="s">
        <v>27</v>
      </c>
      <c r="D145" t="s">
        <v>135</v>
      </c>
    </row>
    <row r="146" spans="1:4" x14ac:dyDescent="0.2">
      <c r="A146">
        <v>66604</v>
      </c>
      <c r="B146" t="s">
        <v>13</v>
      </c>
      <c r="C146" t="s">
        <v>19</v>
      </c>
      <c r="D146" t="s">
        <v>107</v>
      </c>
    </row>
    <row r="147" spans="1:4" x14ac:dyDescent="0.2">
      <c r="A147">
        <v>66604</v>
      </c>
      <c r="B147" t="s">
        <v>14</v>
      </c>
      <c r="C147" t="s">
        <v>30</v>
      </c>
      <c r="D147" t="s">
        <v>90</v>
      </c>
    </row>
    <row r="148" spans="1:4" x14ac:dyDescent="0.2">
      <c r="A148">
        <v>66604</v>
      </c>
      <c r="B148" t="s">
        <v>15</v>
      </c>
      <c r="C148" t="s">
        <v>27</v>
      </c>
      <c r="D148" t="s">
        <v>29</v>
      </c>
    </row>
    <row r="149" spans="1:4" x14ac:dyDescent="0.2">
      <c r="A149">
        <v>25589</v>
      </c>
      <c r="B149" t="s">
        <v>13</v>
      </c>
      <c r="C149" t="s">
        <v>19</v>
      </c>
      <c r="D149" t="s">
        <v>39</v>
      </c>
    </row>
    <row r="150" spans="1:4" x14ac:dyDescent="0.2">
      <c r="A150">
        <v>25589</v>
      </c>
      <c r="B150" t="s">
        <v>14</v>
      </c>
      <c r="C150" t="s">
        <v>48</v>
      </c>
      <c r="D150" t="s">
        <v>136</v>
      </c>
    </row>
    <row r="151" spans="1:4" x14ac:dyDescent="0.2">
      <c r="A151">
        <v>25589</v>
      </c>
      <c r="B151" t="s">
        <v>15</v>
      </c>
      <c r="C151" t="s">
        <v>27</v>
      </c>
      <c r="D151" t="s">
        <v>137</v>
      </c>
    </row>
    <row r="152" spans="1:4" x14ac:dyDescent="0.2">
      <c r="A152">
        <v>58458</v>
      </c>
      <c r="B152" t="s">
        <v>13</v>
      </c>
      <c r="C152" t="s">
        <v>19</v>
      </c>
      <c r="D152" t="s">
        <v>123</v>
      </c>
    </row>
    <row r="153" spans="1:4" x14ac:dyDescent="0.2">
      <c r="A153">
        <v>58458</v>
      </c>
      <c r="B153" t="s">
        <v>14</v>
      </c>
      <c r="C153" t="s">
        <v>30</v>
      </c>
      <c r="D153" t="s">
        <v>138</v>
      </c>
    </row>
    <row r="154" spans="1:4" x14ac:dyDescent="0.2">
      <c r="A154">
        <v>58458</v>
      </c>
      <c r="B154" t="s">
        <v>15</v>
      </c>
      <c r="C154" t="s">
        <v>27</v>
      </c>
      <c r="D154" t="s">
        <v>28</v>
      </c>
    </row>
    <row r="155" spans="1:4" x14ac:dyDescent="0.2">
      <c r="A155">
        <v>4254</v>
      </c>
      <c r="B155" t="s">
        <v>13</v>
      </c>
      <c r="C155" t="s">
        <v>19</v>
      </c>
      <c r="D155" t="s">
        <v>114</v>
      </c>
    </row>
    <row r="156" spans="1:4" x14ac:dyDescent="0.2">
      <c r="A156">
        <v>4254</v>
      </c>
      <c r="B156" t="s">
        <v>14</v>
      </c>
      <c r="C156" t="s">
        <v>30</v>
      </c>
      <c r="D156" t="s">
        <v>139</v>
      </c>
    </row>
    <row r="157" spans="1:4" x14ac:dyDescent="0.2">
      <c r="A157">
        <v>4254</v>
      </c>
      <c r="B157" t="s">
        <v>15</v>
      </c>
      <c r="C157" t="s">
        <v>27</v>
      </c>
      <c r="D157" t="s">
        <v>35</v>
      </c>
    </row>
    <row r="158" spans="1:4" x14ac:dyDescent="0.2">
      <c r="A158">
        <v>87605</v>
      </c>
      <c r="B158" t="s">
        <v>13</v>
      </c>
      <c r="C158" t="s">
        <v>19</v>
      </c>
      <c r="D158" t="s">
        <v>140</v>
      </c>
    </row>
    <row r="159" spans="1:4" x14ac:dyDescent="0.2">
      <c r="A159">
        <v>87605</v>
      </c>
      <c r="B159" t="s">
        <v>14</v>
      </c>
      <c r="C159" t="s">
        <v>30</v>
      </c>
      <c r="D159" t="s">
        <v>117</v>
      </c>
    </row>
    <row r="160" spans="1:4" x14ac:dyDescent="0.2">
      <c r="A160">
        <v>87605</v>
      </c>
      <c r="B160" t="s">
        <v>15</v>
      </c>
      <c r="C160" t="s">
        <v>27</v>
      </c>
      <c r="D160" t="s">
        <v>141</v>
      </c>
    </row>
    <row r="161" spans="1:4" x14ac:dyDescent="0.2">
      <c r="A161">
        <v>16657</v>
      </c>
      <c r="B161" t="s">
        <v>13</v>
      </c>
      <c r="C161" t="s">
        <v>19</v>
      </c>
      <c r="D161" t="s">
        <v>142</v>
      </c>
    </row>
    <row r="162" spans="1:4" x14ac:dyDescent="0.2">
      <c r="A162">
        <v>16657</v>
      </c>
      <c r="B162" t="s">
        <v>14</v>
      </c>
      <c r="C162" t="s">
        <v>48</v>
      </c>
      <c r="D162" t="s">
        <v>143</v>
      </c>
    </row>
    <row r="163" spans="1:4" x14ac:dyDescent="0.2">
      <c r="A163">
        <v>16657</v>
      </c>
      <c r="B163" t="s">
        <v>15</v>
      </c>
      <c r="C163" t="s">
        <v>27</v>
      </c>
      <c r="D163" t="s">
        <v>144</v>
      </c>
    </row>
    <row r="164" spans="1:4" x14ac:dyDescent="0.2">
      <c r="A164">
        <v>30151</v>
      </c>
      <c r="B164" t="s">
        <v>13</v>
      </c>
      <c r="C164" t="s">
        <v>19</v>
      </c>
      <c r="D164" t="s">
        <v>117</v>
      </c>
    </row>
    <row r="165" spans="1:4" x14ac:dyDescent="0.2">
      <c r="A165">
        <v>30151</v>
      </c>
      <c r="B165" t="s">
        <v>14</v>
      </c>
      <c r="C165" t="s">
        <v>30</v>
      </c>
      <c r="D165" t="s">
        <v>106</v>
      </c>
    </row>
    <row r="166" spans="1:4" x14ac:dyDescent="0.2">
      <c r="A166">
        <v>30151</v>
      </c>
      <c r="B166" t="s">
        <v>15</v>
      </c>
      <c r="C166" t="s">
        <v>27</v>
      </c>
      <c r="D166" t="s">
        <v>145</v>
      </c>
    </row>
    <row r="167" spans="1:4" x14ac:dyDescent="0.2">
      <c r="A167">
        <v>56933</v>
      </c>
      <c r="B167" t="s">
        <v>13</v>
      </c>
      <c r="C167" t="s">
        <v>19</v>
      </c>
      <c r="D167" t="s">
        <v>29</v>
      </c>
    </row>
    <row r="168" spans="1:4" x14ac:dyDescent="0.2">
      <c r="A168">
        <v>56933</v>
      </c>
      <c r="B168" t="s">
        <v>14</v>
      </c>
      <c r="C168" t="s">
        <v>30</v>
      </c>
      <c r="D168" t="s">
        <v>67</v>
      </c>
    </row>
    <row r="169" spans="1:4" x14ac:dyDescent="0.2">
      <c r="A169">
        <v>56933</v>
      </c>
      <c r="B169" t="s">
        <v>15</v>
      </c>
      <c r="C169" t="s">
        <v>27</v>
      </c>
      <c r="D169" t="s">
        <v>146</v>
      </c>
    </row>
    <row r="170" spans="1:4" x14ac:dyDescent="0.2">
      <c r="A170">
        <v>27506</v>
      </c>
      <c r="B170" t="s">
        <v>13</v>
      </c>
      <c r="C170" t="s">
        <v>19</v>
      </c>
      <c r="D170" t="s">
        <v>114</v>
      </c>
    </row>
    <row r="171" spans="1:4" x14ac:dyDescent="0.2">
      <c r="A171">
        <v>27506</v>
      </c>
      <c r="B171" t="s">
        <v>14</v>
      </c>
      <c r="C171" t="s">
        <v>30</v>
      </c>
      <c r="D171" t="s">
        <v>51</v>
      </c>
    </row>
    <row r="172" spans="1:4" x14ac:dyDescent="0.2">
      <c r="A172">
        <v>27506</v>
      </c>
      <c r="B172" t="s">
        <v>15</v>
      </c>
      <c r="C172" t="s">
        <v>27</v>
      </c>
      <c r="D172" t="s">
        <v>60</v>
      </c>
    </row>
    <row r="173" spans="1:4" x14ac:dyDescent="0.2">
      <c r="A173">
        <v>75224</v>
      </c>
      <c r="B173" t="s">
        <v>13</v>
      </c>
      <c r="C173" t="s">
        <v>19</v>
      </c>
      <c r="D173" t="s">
        <v>147</v>
      </c>
    </row>
    <row r="174" spans="1:4" x14ac:dyDescent="0.2">
      <c r="A174">
        <v>75224</v>
      </c>
      <c r="B174" t="s">
        <v>14</v>
      </c>
      <c r="C174" t="s">
        <v>21</v>
      </c>
      <c r="D174" t="s">
        <v>148</v>
      </c>
    </row>
    <row r="175" spans="1:4" x14ac:dyDescent="0.2">
      <c r="A175">
        <v>75224</v>
      </c>
      <c r="B175" t="s">
        <v>15</v>
      </c>
      <c r="C175" t="s">
        <v>27</v>
      </c>
      <c r="D175" t="s">
        <v>149</v>
      </c>
    </row>
    <row r="176" spans="1:4" x14ac:dyDescent="0.2">
      <c r="A176">
        <v>85179</v>
      </c>
      <c r="B176" t="s">
        <v>13</v>
      </c>
      <c r="C176" t="s">
        <v>19</v>
      </c>
      <c r="D176" t="s">
        <v>150</v>
      </c>
    </row>
    <row r="177" spans="1:4" x14ac:dyDescent="0.2">
      <c r="A177">
        <v>85179</v>
      </c>
      <c r="B177" t="s">
        <v>14</v>
      </c>
      <c r="C177" t="s">
        <v>30</v>
      </c>
      <c r="D177" t="s">
        <v>151</v>
      </c>
    </row>
    <row r="178" spans="1:4" x14ac:dyDescent="0.2">
      <c r="A178">
        <v>85179</v>
      </c>
      <c r="B178" t="s">
        <v>15</v>
      </c>
      <c r="C178" t="s">
        <v>27</v>
      </c>
      <c r="D178" t="s">
        <v>152</v>
      </c>
    </row>
    <row r="179" spans="1:4" x14ac:dyDescent="0.2">
      <c r="A179">
        <v>97808</v>
      </c>
      <c r="B179" t="s">
        <v>13</v>
      </c>
      <c r="C179" t="s">
        <v>19</v>
      </c>
      <c r="D179" t="s">
        <v>101</v>
      </c>
    </row>
    <row r="180" spans="1:4" x14ac:dyDescent="0.2">
      <c r="A180">
        <v>97808</v>
      </c>
      <c r="B180" t="s">
        <v>14</v>
      </c>
      <c r="C180" t="s">
        <v>30</v>
      </c>
      <c r="D180" t="s">
        <v>76</v>
      </c>
    </row>
    <row r="181" spans="1:4" x14ac:dyDescent="0.2">
      <c r="A181">
        <v>97808</v>
      </c>
      <c r="B181" t="s">
        <v>15</v>
      </c>
      <c r="C181" t="s">
        <v>27</v>
      </c>
      <c r="D181" t="s">
        <v>153</v>
      </c>
    </row>
    <row r="182" spans="1:4" x14ac:dyDescent="0.2">
      <c r="A182">
        <v>56970</v>
      </c>
      <c r="B182" t="s">
        <v>13</v>
      </c>
      <c r="C182" t="s">
        <v>19</v>
      </c>
      <c r="D182" t="s">
        <v>107</v>
      </c>
    </row>
    <row r="183" spans="1:4" x14ac:dyDescent="0.2">
      <c r="A183">
        <v>56970</v>
      </c>
      <c r="B183" t="s">
        <v>14</v>
      </c>
      <c r="C183" t="s">
        <v>154</v>
      </c>
      <c r="D183" t="s">
        <v>65</v>
      </c>
    </row>
    <row r="184" spans="1:4" x14ac:dyDescent="0.2">
      <c r="A184">
        <v>56970</v>
      </c>
      <c r="B184" t="s">
        <v>15</v>
      </c>
      <c r="C184" t="s">
        <v>27</v>
      </c>
      <c r="D184" t="s">
        <v>155</v>
      </c>
    </row>
    <row r="185" spans="1:4" x14ac:dyDescent="0.2">
      <c r="A185">
        <v>99307</v>
      </c>
      <c r="B185" t="s">
        <v>13</v>
      </c>
      <c r="C185" t="s">
        <v>19</v>
      </c>
      <c r="D185" t="s">
        <v>156</v>
      </c>
    </row>
    <row r="186" spans="1:4" x14ac:dyDescent="0.2">
      <c r="A186">
        <v>99307</v>
      </c>
      <c r="B186" t="s">
        <v>14</v>
      </c>
      <c r="C186" t="s">
        <v>30</v>
      </c>
      <c r="D186" t="s">
        <v>116</v>
      </c>
    </row>
    <row r="187" spans="1:4" x14ac:dyDescent="0.2">
      <c r="A187">
        <v>99307</v>
      </c>
      <c r="B187" t="s">
        <v>15</v>
      </c>
      <c r="C187" t="s">
        <v>27</v>
      </c>
      <c r="D187" t="s">
        <v>143</v>
      </c>
    </row>
    <row r="188" spans="1:4" x14ac:dyDescent="0.2">
      <c r="A188">
        <v>38177</v>
      </c>
      <c r="B188" t="s">
        <v>13</v>
      </c>
      <c r="C188" t="s">
        <v>19</v>
      </c>
      <c r="D188" t="s">
        <v>157</v>
      </c>
    </row>
    <row r="189" spans="1:4" x14ac:dyDescent="0.2">
      <c r="A189">
        <v>38177</v>
      </c>
      <c r="B189" t="s">
        <v>14</v>
      </c>
      <c r="C189" t="s">
        <v>21</v>
      </c>
      <c r="D189" t="s">
        <v>63</v>
      </c>
    </row>
    <row r="190" spans="1:4" x14ac:dyDescent="0.2">
      <c r="A190">
        <v>38177</v>
      </c>
      <c r="B190" t="s">
        <v>15</v>
      </c>
      <c r="C190" t="s">
        <v>27</v>
      </c>
      <c r="D190" t="s">
        <v>86</v>
      </c>
    </row>
    <row r="191" spans="1:4" x14ac:dyDescent="0.2">
      <c r="A191">
        <v>25942</v>
      </c>
      <c r="B191" t="s">
        <v>13</v>
      </c>
      <c r="C191" t="s">
        <v>19</v>
      </c>
      <c r="D191" t="s">
        <v>33</v>
      </c>
    </row>
    <row r="192" spans="1:4" x14ac:dyDescent="0.2">
      <c r="A192">
        <v>25942</v>
      </c>
      <c r="B192" t="s">
        <v>14</v>
      </c>
      <c r="C192" t="s">
        <v>48</v>
      </c>
      <c r="D192" t="s">
        <v>158</v>
      </c>
    </row>
    <row r="193" spans="1:4" x14ac:dyDescent="0.2">
      <c r="A193">
        <v>25942</v>
      </c>
      <c r="B193" t="s">
        <v>15</v>
      </c>
      <c r="C193" t="s">
        <v>27</v>
      </c>
      <c r="D193" t="s">
        <v>159</v>
      </c>
    </row>
    <row r="194" spans="1:4" x14ac:dyDescent="0.2">
      <c r="A194">
        <v>43049</v>
      </c>
      <c r="B194" t="s">
        <v>13</v>
      </c>
      <c r="C194" t="s">
        <v>19</v>
      </c>
      <c r="D194" t="s">
        <v>36</v>
      </c>
    </row>
    <row r="195" spans="1:4" x14ac:dyDescent="0.2">
      <c r="A195">
        <v>43049</v>
      </c>
      <c r="B195" t="s">
        <v>14</v>
      </c>
      <c r="C195" t="s">
        <v>30</v>
      </c>
      <c r="D195" t="s">
        <v>160</v>
      </c>
    </row>
    <row r="196" spans="1:4" x14ac:dyDescent="0.2">
      <c r="A196">
        <v>43049</v>
      </c>
      <c r="B196" t="s">
        <v>15</v>
      </c>
      <c r="C196" t="s">
        <v>27</v>
      </c>
      <c r="D196" t="s">
        <v>161</v>
      </c>
    </row>
    <row r="197" spans="1:4" x14ac:dyDescent="0.2">
      <c r="A197">
        <v>13272</v>
      </c>
      <c r="B197" t="s">
        <v>13</v>
      </c>
      <c r="C197" t="s">
        <v>19</v>
      </c>
      <c r="D197" t="s">
        <v>150</v>
      </c>
    </row>
    <row r="198" spans="1:4" x14ac:dyDescent="0.2">
      <c r="A198">
        <v>13272</v>
      </c>
      <c r="B198" t="s">
        <v>14</v>
      </c>
      <c r="C198" t="s">
        <v>30</v>
      </c>
      <c r="D198" t="s">
        <v>162</v>
      </c>
    </row>
    <row r="199" spans="1:4" x14ac:dyDescent="0.2">
      <c r="A199">
        <v>13272</v>
      </c>
      <c r="B199" t="s">
        <v>15</v>
      </c>
      <c r="C199" t="s">
        <v>27</v>
      </c>
      <c r="D199" t="s">
        <v>163</v>
      </c>
    </row>
    <row r="200" spans="1:4" x14ac:dyDescent="0.2">
      <c r="A200">
        <v>19375</v>
      </c>
      <c r="B200" t="s">
        <v>13</v>
      </c>
      <c r="C200" t="s">
        <v>19</v>
      </c>
      <c r="D200" t="s">
        <v>97</v>
      </c>
    </row>
    <row r="201" spans="1:4" x14ac:dyDescent="0.2">
      <c r="A201">
        <v>19375</v>
      </c>
      <c r="B201" t="s">
        <v>14</v>
      </c>
      <c r="C201" t="s">
        <v>30</v>
      </c>
      <c r="D201" t="s">
        <v>164</v>
      </c>
    </row>
    <row r="202" spans="1:4" x14ac:dyDescent="0.2">
      <c r="A202">
        <v>19375</v>
      </c>
      <c r="B202" t="s">
        <v>15</v>
      </c>
      <c r="C202" t="s">
        <v>27</v>
      </c>
      <c r="D202" t="s">
        <v>165</v>
      </c>
    </row>
    <row r="203" spans="1:4" x14ac:dyDescent="0.2">
      <c r="A203">
        <v>8699</v>
      </c>
      <c r="B203" t="s">
        <v>13</v>
      </c>
      <c r="C203" t="s">
        <v>19</v>
      </c>
      <c r="D203" t="s">
        <v>114</v>
      </c>
    </row>
    <row r="204" spans="1:4" x14ac:dyDescent="0.2">
      <c r="A204">
        <v>8699</v>
      </c>
      <c r="B204" t="s">
        <v>14</v>
      </c>
      <c r="C204" t="s">
        <v>21</v>
      </c>
      <c r="D204" t="s">
        <v>166</v>
      </c>
    </row>
    <row r="205" spans="1:4" x14ac:dyDescent="0.2">
      <c r="A205">
        <v>8699</v>
      </c>
      <c r="B205" t="s">
        <v>15</v>
      </c>
      <c r="C205" t="s">
        <v>27</v>
      </c>
      <c r="D205" t="s">
        <v>167</v>
      </c>
    </row>
    <row r="206" spans="1:4" x14ac:dyDescent="0.2">
      <c r="A206">
        <v>55852</v>
      </c>
      <c r="B206" t="s">
        <v>13</v>
      </c>
      <c r="C206" t="s">
        <v>19</v>
      </c>
      <c r="D206" t="s">
        <v>114</v>
      </c>
    </row>
    <row r="207" spans="1:4" x14ac:dyDescent="0.2">
      <c r="A207">
        <v>55852</v>
      </c>
      <c r="B207" t="s">
        <v>14</v>
      </c>
      <c r="C207" t="s">
        <v>30</v>
      </c>
      <c r="D207" t="s">
        <v>168</v>
      </c>
    </row>
    <row r="208" spans="1:4" x14ac:dyDescent="0.2">
      <c r="A208">
        <v>55852</v>
      </c>
      <c r="B208" t="s">
        <v>15</v>
      </c>
      <c r="C208" t="s">
        <v>27</v>
      </c>
      <c r="D208" t="s">
        <v>88</v>
      </c>
    </row>
    <row r="209" spans="1:4" x14ac:dyDescent="0.2">
      <c r="A209">
        <v>41615</v>
      </c>
      <c r="B209" t="s">
        <v>13</v>
      </c>
      <c r="C209" t="s">
        <v>19</v>
      </c>
      <c r="D209" t="s">
        <v>82</v>
      </c>
    </row>
    <row r="210" spans="1:4" x14ac:dyDescent="0.2">
      <c r="A210">
        <v>41615</v>
      </c>
      <c r="B210" t="s">
        <v>14</v>
      </c>
      <c r="C210" t="s">
        <v>30</v>
      </c>
      <c r="D210" t="s">
        <v>64</v>
      </c>
    </row>
    <row r="211" spans="1:4" x14ac:dyDescent="0.2">
      <c r="A211">
        <v>41615</v>
      </c>
      <c r="B211" t="s">
        <v>15</v>
      </c>
      <c r="C211" t="s">
        <v>27</v>
      </c>
      <c r="D211" t="s">
        <v>169</v>
      </c>
    </row>
    <row r="212" spans="1:4" x14ac:dyDescent="0.2">
      <c r="A212">
        <v>24527</v>
      </c>
      <c r="B212" t="s">
        <v>13</v>
      </c>
      <c r="C212" t="s">
        <v>19</v>
      </c>
      <c r="D212" t="s">
        <v>29</v>
      </c>
    </row>
    <row r="213" spans="1:4" x14ac:dyDescent="0.2">
      <c r="A213">
        <v>24527</v>
      </c>
      <c r="B213" t="s">
        <v>14</v>
      </c>
      <c r="C213" t="s">
        <v>30</v>
      </c>
      <c r="D213" t="s">
        <v>94</v>
      </c>
    </row>
    <row r="214" spans="1:4" x14ac:dyDescent="0.2">
      <c r="A214">
        <v>24527</v>
      </c>
      <c r="B214" t="s">
        <v>15</v>
      </c>
      <c r="C214" t="s">
        <v>27</v>
      </c>
      <c r="D214" t="s">
        <v>133</v>
      </c>
    </row>
    <row r="215" spans="1:4" x14ac:dyDescent="0.2">
      <c r="A215">
        <v>30981</v>
      </c>
      <c r="B215" t="s">
        <v>13</v>
      </c>
      <c r="C215" t="s">
        <v>19</v>
      </c>
      <c r="D215" t="s">
        <v>170</v>
      </c>
    </row>
    <row r="216" spans="1:4" x14ac:dyDescent="0.2">
      <c r="A216">
        <v>30981</v>
      </c>
      <c r="B216" t="s">
        <v>14</v>
      </c>
      <c r="C216" t="s">
        <v>21</v>
      </c>
      <c r="D216" t="s">
        <v>115</v>
      </c>
    </row>
    <row r="217" spans="1:4" x14ac:dyDescent="0.2">
      <c r="A217">
        <v>30981</v>
      </c>
      <c r="B217" t="s">
        <v>15</v>
      </c>
      <c r="C217" t="s">
        <v>27</v>
      </c>
      <c r="D217" t="s">
        <v>171</v>
      </c>
    </row>
    <row r="218" spans="1:4" x14ac:dyDescent="0.2">
      <c r="A218">
        <v>87584</v>
      </c>
      <c r="B218" t="s">
        <v>13</v>
      </c>
      <c r="C218" t="s">
        <v>19</v>
      </c>
      <c r="D218" t="s">
        <v>107</v>
      </c>
    </row>
    <row r="219" spans="1:4" x14ac:dyDescent="0.2">
      <c r="A219">
        <v>87584</v>
      </c>
      <c r="B219" t="s">
        <v>14</v>
      </c>
      <c r="C219" t="s">
        <v>30</v>
      </c>
      <c r="D219" t="s">
        <v>172</v>
      </c>
    </row>
    <row r="220" spans="1:4" x14ac:dyDescent="0.2">
      <c r="A220">
        <v>87584</v>
      </c>
      <c r="B220" t="s">
        <v>15</v>
      </c>
      <c r="C220" t="s">
        <v>27</v>
      </c>
      <c r="D220" t="s">
        <v>173</v>
      </c>
    </row>
    <row r="221" spans="1:4" x14ac:dyDescent="0.2">
      <c r="A221">
        <v>36653</v>
      </c>
      <c r="B221" t="s">
        <v>13</v>
      </c>
      <c r="C221" t="s">
        <v>19</v>
      </c>
      <c r="D221" t="s">
        <v>60</v>
      </c>
    </row>
    <row r="222" spans="1:4" x14ac:dyDescent="0.2">
      <c r="A222">
        <v>36653</v>
      </c>
      <c r="B222" t="s">
        <v>14</v>
      </c>
      <c r="C222" t="s">
        <v>21</v>
      </c>
      <c r="D222" t="s">
        <v>81</v>
      </c>
    </row>
    <row r="223" spans="1:4" x14ac:dyDescent="0.2">
      <c r="A223">
        <v>36653</v>
      </c>
      <c r="B223" t="s">
        <v>15</v>
      </c>
      <c r="C223" t="s">
        <v>27</v>
      </c>
      <c r="D223" t="s">
        <v>174</v>
      </c>
    </row>
    <row r="224" spans="1:4" x14ac:dyDescent="0.2">
      <c r="A224">
        <v>49149</v>
      </c>
      <c r="B224" t="s">
        <v>13</v>
      </c>
      <c r="C224" t="s">
        <v>19</v>
      </c>
      <c r="D224" t="s">
        <v>114</v>
      </c>
    </row>
    <row r="225" spans="1:4" x14ac:dyDescent="0.2">
      <c r="A225">
        <v>49149</v>
      </c>
      <c r="B225" t="s">
        <v>14</v>
      </c>
      <c r="C225" t="s">
        <v>48</v>
      </c>
      <c r="D225" t="s">
        <v>175</v>
      </c>
    </row>
    <row r="226" spans="1:4" x14ac:dyDescent="0.2">
      <c r="A226">
        <v>49149</v>
      </c>
      <c r="B226" t="s">
        <v>15</v>
      </c>
      <c r="C226" t="s">
        <v>27</v>
      </c>
      <c r="D226" t="s">
        <v>176</v>
      </c>
    </row>
    <row r="227" spans="1:4" x14ac:dyDescent="0.2">
      <c r="A227">
        <v>11158</v>
      </c>
      <c r="B227" t="s">
        <v>13</v>
      </c>
      <c r="C227" t="s">
        <v>19</v>
      </c>
      <c r="D227" t="s">
        <v>177</v>
      </c>
    </row>
    <row r="228" spans="1:4" x14ac:dyDescent="0.2">
      <c r="A228">
        <v>11158</v>
      </c>
      <c r="B228" t="s">
        <v>14</v>
      </c>
      <c r="C228" t="s">
        <v>30</v>
      </c>
      <c r="D228" t="s">
        <v>98</v>
      </c>
    </row>
    <row r="229" spans="1:4" x14ac:dyDescent="0.2">
      <c r="A229">
        <v>11158</v>
      </c>
      <c r="B229" t="s">
        <v>15</v>
      </c>
      <c r="C229" t="s">
        <v>27</v>
      </c>
      <c r="D229" t="s">
        <v>178</v>
      </c>
    </row>
    <row r="230" spans="1:4" x14ac:dyDescent="0.2">
      <c r="A230">
        <v>98652</v>
      </c>
      <c r="B230" t="s">
        <v>13</v>
      </c>
      <c r="C230" t="s">
        <v>19</v>
      </c>
      <c r="D230" t="s">
        <v>73</v>
      </c>
    </row>
    <row r="231" spans="1:4" x14ac:dyDescent="0.2">
      <c r="A231">
        <v>98652</v>
      </c>
      <c r="B231" t="s">
        <v>14</v>
      </c>
      <c r="C231" t="s">
        <v>30</v>
      </c>
      <c r="D231" t="s">
        <v>179</v>
      </c>
    </row>
    <row r="232" spans="1:4" x14ac:dyDescent="0.2">
      <c r="A232">
        <v>98652</v>
      </c>
      <c r="B232" t="s">
        <v>15</v>
      </c>
      <c r="C232" t="s">
        <v>27</v>
      </c>
      <c r="D232" t="s">
        <v>180</v>
      </c>
    </row>
    <row r="233" spans="1:4" x14ac:dyDescent="0.2">
      <c r="A233">
        <v>23381</v>
      </c>
      <c r="B233" t="s">
        <v>13</v>
      </c>
      <c r="C233" t="s">
        <v>19</v>
      </c>
      <c r="D233" t="s">
        <v>181</v>
      </c>
    </row>
    <row r="234" spans="1:4" x14ac:dyDescent="0.2">
      <c r="A234">
        <v>23381</v>
      </c>
      <c r="B234" t="s">
        <v>14</v>
      </c>
      <c r="C234" t="s">
        <v>30</v>
      </c>
      <c r="D234" t="s">
        <v>182</v>
      </c>
    </row>
    <row r="235" spans="1:4" x14ac:dyDescent="0.2">
      <c r="A235">
        <v>23381</v>
      </c>
      <c r="B235" t="s">
        <v>15</v>
      </c>
      <c r="C235" t="s">
        <v>27</v>
      </c>
      <c r="D235" t="s">
        <v>183</v>
      </c>
    </row>
    <row r="236" spans="1:4" x14ac:dyDescent="0.2">
      <c r="A236">
        <v>64911</v>
      </c>
      <c r="B236" t="s">
        <v>13</v>
      </c>
      <c r="C236" t="s">
        <v>19</v>
      </c>
      <c r="D236" t="s">
        <v>184</v>
      </c>
    </row>
    <row r="237" spans="1:4" x14ac:dyDescent="0.2">
      <c r="A237">
        <v>64911</v>
      </c>
      <c r="B237" t="s">
        <v>14</v>
      </c>
      <c r="C237" t="s">
        <v>21</v>
      </c>
      <c r="D237" t="s">
        <v>185</v>
      </c>
    </row>
    <row r="238" spans="1:4" x14ac:dyDescent="0.2">
      <c r="A238">
        <v>64911</v>
      </c>
      <c r="B238" t="s">
        <v>15</v>
      </c>
      <c r="C238" t="s">
        <v>27</v>
      </c>
      <c r="D238" t="s">
        <v>129</v>
      </c>
    </row>
    <row r="239" spans="1:4" x14ac:dyDescent="0.2">
      <c r="A239">
        <v>31294</v>
      </c>
      <c r="B239" t="s">
        <v>13</v>
      </c>
      <c r="C239" t="s">
        <v>19</v>
      </c>
      <c r="D239" t="s">
        <v>36</v>
      </c>
    </row>
    <row r="240" spans="1:4" x14ac:dyDescent="0.2">
      <c r="A240">
        <v>31294</v>
      </c>
      <c r="B240" t="s">
        <v>14</v>
      </c>
      <c r="C240" t="s">
        <v>30</v>
      </c>
      <c r="D240" t="s">
        <v>184</v>
      </c>
    </row>
    <row r="241" spans="1:4" x14ac:dyDescent="0.2">
      <c r="A241">
        <v>31294</v>
      </c>
      <c r="B241" t="s">
        <v>15</v>
      </c>
      <c r="C241" t="s">
        <v>27</v>
      </c>
      <c r="D241" t="s">
        <v>186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2A0-119F-EF4C-BDE5-85EC9205E596}">
  <dimension ref="B2:K302"/>
  <sheetViews>
    <sheetView tabSelected="1" workbookViewId="0">
      <selection activeCell="H26" sqref="H26"/>
    </sheetView>
  </sheetViews>
  <sheetFormatPr baseColWidth="10" defaultRowHeight="16" x14ac:dyDescent="0.2"/>
  <cols>
    <col min="4" max="4" width="16" customWidth="1"/>
    <col min="5" max="5" width="13.83203125" customWidth="1"/>
    <col min="6" max="6" width="11.1640625" customWidth="1"/>
    <col min="7" max="7" width="23.1640625" customWidth="1"/>
    <col min="8" max="8" width="16.6640625" customWidth="1"/>
    <col min="9" max="9" width="16" customWidth="1"/>
  </cols>
  <sheetData>
    <row r="2" spans="2:11" x14ac:dyDescent="0.2">
      <c r="B2" t="s">
        <v>0</v>
      </c>
      <c r="C2" t="s">
        <v>1</v>
      </c>
      <c r="D2" t="s">
        <v>4</v>
      </c>
      <c r="E2" t="s">
        <v>2</v>
      </c>
      <c r="F2" t="s">
        <v>3</v>
      </c>
      <c r="G2" t="s">
        <v>291</v>
      </c>
      <c r="I2" t="s">
        <v>296</v>
      </c>
      <c r="J2" t="s">
        <v>5</v>
      </c>
    </row>
    <row r="3" spans="2:11" x14ac:dyDescent="0.2">
      <c r="B3">
        <v>1</v>
      </c>
      <c r="C3">
        <v>23432</v>
      </c>
      <c r="D3">
        <v>60</v>
      </c>
      <c r="E3">
        <v>314</v>
      </c>
      <c r="F3">
        <v>444</v>
      </c>
      <c r="G3">
        <f t="shared" ref="G3:G66" si="0">IF(D3&lt;=540,60,IF(D3&lt;=2070,1020,3120))</f>
        <v>60</v>
      </c>
      <c r="I3" t="s">
        <v>6</v>
      </c>
      <c r="J3">
        <f>AVERAGE(E3:E302)</f>
        <v>391.45666666666665</v>
      </c>
    </row>
    <row r="4" spans="2:11" x14ac:dyDescent="0.2">
      <c r="B4">
        <v>1</v>
      </c>
      <c r="C4">
        <v>23432</v>
      </c>
      <c r="D4">
        <v>1020</v>
      </c>
      <c r="E4">
        <v>354</v>
      </c>
      <c r="F4">
        <v>483</v>
      </c>
      <c r="G4">
        <f t="shared" si="0"/>
        <v>1020</v>
      </c>
      <c r="I4" t="s">
        <v>7</v>
      </c>
      <c r="J4">
        <f>STDEV(E3:E302)</f>
        <v>77.641411317630855</v>
      </c>
      <c r="K4">
        <f>J4/J3</f>
        <v>0.19833973445582956</v>
      </c>
    </row>
    <row r="5" spans="2:11" x14ac:dyDescent="0.2">
      <c r="B5">
        <v>1</v>
      </c>
      <c r="C5">
        <v>23432</v>
      </c>
      <c r="D5">
        <v>3120</v>
      </c>
      <c r="E5">
        <v>407</v>
      </c>
      <c r="F5">
        <v>625</v>
      </c>
      <c r="G5">
        <f t="shared" si="0"/>
        <v>3120</v>
      </c>
      <c r="I5" t="s">
        <v>8</v>
      </c>
      <c r="J5">
        <f>AVERAGE(F3:F302)</f>
        <v>547.65</v>
      </c>
    </row>
    <row r="6" spans="2:11" x14ac:dyDescent="0.2">
      <c r="B6">
        <v>2</v>
      </c>
      <c r="C6">
        <v>84790</v>
      </c>
      <c r="D6">
        <v>60</v>
      </c>
      <c r="E6">
        <v>352</v>
      </c>
      <c r="F6">
        <v>458</v>
      </c>
      <c r="G6">
        <f t="shared" si="0"/>
        <v>60</v>
      </c>
      <c r="I6" t="s">
        <v>9</v>
      </c>
      <c r="J6">
        <f>STDEV(F3:F302)</f>
        <v>102.78562048878342</v>
      </c>
    </row>
    <row r="7" spans="2:11" x14ac:dyDescent="0.2">
      <c r="B7">
        <v>2</v>
      </c>
      <c r="C7">
        <v>84790</v>
      </c>
      <c r="D7">
        <v>1020</v>
      </c>
      <c r="E7">
        <v>359</v>
      </c>
      <c r="F7">
        <v>476</v>
      </c>
      <c r="G7">
        <f t="shared" si="0"/>
        <v>1020</v>
      </c>
      <c r="I7" t="s">
        <v>16</v>
      </c>
      <c r="J7" cm="1">
        <f t="array" ref="J7">AVERAGE((F3:F302)-(E3:E302))</f>
        <v>156.19333333333333</v>
      </c>
    </row>
    <row r="8" spans="2:11" x14ac:dyDescent="0.2">
      <c r="B8">
        <v>2</v>
      </c>
      <c r="C8">
        <v>84790</v>
      </c>
      <c r="D8">
        <v>3120</v>
      </c>
      <c r="E8">
        <v>468</v>
      </c>
      <c r="F8">
        <v>540</v>
      </c>
      <c r="G8">
        <f t="shared" si="0"/>
        <v>3120</v>
      </c>
      <c r="I8" t="s">
        <v>17</v>
      </c>
      <c r="J8" cm="1">
        <f t="array" ref="J8">STDEV((F3:F302)-(E3:E302))</f>
        <v>99.860819308670244</v>
      </c>
    </row>
    <row r="9" spans="2:11" x14ac:dyDescent="0.2">
      <c r="B9">
        <v>3</v>
      </c>
      <c r="C9">
        <v>67455</v>
      </c>
      <c r="D9">
        <v>60</v>
      </c>
      <c r="E9">
        <v>330</v>
      </c>
      <c r="F9">
        <v>459</v>
      </c>
      <c r="G9">
        <f t="shared" si="0"/>
        <v>60</v>
      </c>
      <c r="I9" t="s">
        <v>292</v>
      </c>
      <c r="J9">
        <f>MIN(E3:E302)</f>
        <v>256</v>
      </c>
    </row>
    <row r="10" spans="2:11" x14ac:dyDescent="0.2">
      <c r="B10">
        <v>3</v>
      </c>
      <c r="C10">
        <v>67455</v>
      </c>
      <c r="D10">
        <v>1020</v>
      </c>
      <c r="E10">
        <v>354</v>
      </c>
      <c r="F10">
        <v>427</v>
      </c>
      <c r="G10">
        <f t="shared" si="0"/>
        <v>1020</v>
      </c>
      <c r="I10" t="s">
        <v>293</v>
      </c>
      <c r="J10">
        <f>MAX(E3:E302)</f>
        <v>771</v>
      </c>
    </row>
    <row r="11" spans="2:11" x14ac:dyDescent="0.2">
      <c r="B11">
        <v>3</v>
      </c>
      <c r="C11">
        <v>67455</v>
      </c>
      <c r="D11">
        <v>3120</v>
      </c>
      <c r="E11">
        <v>428</v>
      </c>
      <c r="F11">
        <v>575</v>
      </c>
      <c r="G11">
        <f t="shared" si="0"/>
        <v>3120</v>
      </c>
      <c r="I11" t="s">
        <v>294</v>
      </c>
      <c r="J11">
        <f>MIN(F3:F302)</f>
        <v>377</v>
      </c>
    </row>
    <row r="12" spans="2:11" x14ac:dyDescent="0.2">
      <c r="B12">
        <v>4</v>
      </c>
      <c r="C12">
        <v>72320</v>
      </c>
      <c r="D12">
        <v>60</v>
      </c>
      <c r="E12">
        <v>401</v>
      </c>
      <c r="F12">
        <v>536</v>
      </c>
      <c r="G12">
        <f t="shared" si="0"/>
        <v>60</v>
      </c>
      <c r="I12" t="s">
        <v>295</v>
      </c>
      <c r="J12">
        <f>MAX(F3:F302)</f>
        <v>1075</v>
      </c>
    </row>
    <row r="13" spans="2:11" x14ac:dyDescent="0.2">
      <c r="B13">
        <v>4</v>
      </c>
      <c r="C13">
        <v>72320</v>
      </c>
      <c r="D13">
        <v>1020</v>
      </c>
      <c r="E13">
        <v>425</v>
      </c>
      <c r="F13">
        <v>414</v>
      </c>
      <c r="G13">
        <f t="shared" si="0"/>
        <v>1020</v>
      </c>
    </row>
    <row r="14" spans="2:11" x14ac:dyDescent="0.2">
      <c r="B14">
        <v>4</v>
      </c>
      <c r="C14">
        <v>72320</v>
      </c>
      <c r="D14">
        <v>3120</v>
      </c>
      <c r="E14">
        <v>461</v>
      </c>
      <c r="F14">
        <v>823</v>
      </c>
      <c r="G14">
        <f t="shared" si="0"/>
        <v>3120</v>
      </c>
    </row>
    <row r="15" spans="2:11" x14ac:dyDescent="0.2">
      <c r="B15">
        <v>5</v>
      </c>
      <c r="C15">
        <v>87108</v>
      </c>
      <c r="D15">
        <v>60</v>
      </c>
      <c r="E15">
        <v>314</v>
      </c>
      <c r="F15">
        <v>445</v>
      </c>
      <c r="G15">
        <f t="shared" si="0"/>
        <v>60</v>
      </c>
    </row>
    <row r="16" spans="2:11" x14ac:dyDescent="0.2">
      <c r="B16">
        <v>5</v>
      </c>
      <c r="C16">
        <v>87108</v>
      </c>
      <c r="D16">
        <v>1020</v>
      </c>
      <c r="E16">
        <v>521</v>
      </c>
      <c r="F16">
        <v>600</v>
      </c>
      <c r="G16">
        <f t="shared" si="0"/>
        <v>1020</v>
      </c>
    </row>
    <row r="17" spans="2:7" x14ac:dyDescent="0.2">
      <c r="B17">
        <v>5</v>
      </c>
      <c r="C17">
        <v>87108</v>
      </c>
      <c r="D17">
        <v>3120</v>
      </c>
      <c r="E17">
        <v>396</v>
      </c>
      <c r="F17">
        <v>548</v>
      </c>
      <c r="G17">
        <f t="shared" si="0"/>
        <v>3120</v>
      </c>
    </row>
    <row r="18" spans="2:7" x14ac:dyDescent="0.2">
      <c r="B18">
        <v>6</v>
      </c>
      <c r="C18">
        <v>50136</v>
      </c>
      <c r="D18">
        <v>60</v>
      </c>
      <c r="E18">
        <v>351</v>
      </c>
      <c r="F18">
        <v>467</v>
      </c>
      <c r="G18">
        <f t="shared" si="0"/>
        <v>60</v>
      </c>
    </row>
    <row r="19" spans="2:7" x14ac:dyDescent="0.2">
      <c r="B19">
        <v>6</v>
      </c>
      <c r="C19">
        <v>50136</v>
      </c>
      <c r="D19">
        <v>1020</v>
      </c>
      <c r="E19">
        <v>438</v>
      </c>
      <c r="F19">
        <v>592</v>
      </c>
      <c r="G19">
        <f t="shared" si="0"/>
        <v>1020</v>
      </c>
    </row>
    <row r="20" spans="2:7" x14ac:dyDescent="0.2">
      <c r="B20">
        <v>6</v>
      </c>
      <c r="C20">
        <v>50136</v>
      </c>
      <c r="D20">
        <v>3120</v>
      </c>
      <c r="E20">
        <v>441</v>
      </c>
      <c r="F20">
        <v>554</v>
      </c>
      <c r="G20">
        <f t="shared" si="0"/>
        <v>3120</v>
      </c>
    </row>
    <row r="21" spans="2:7" x14ac:dyDescent="0.2">
      <c r="B21">
        <v>7</v>
      </c>
      <c r="C21">
        <v>73655</v>
      </c>
      <c r="D21">
        <v>60</v>
      </c>
      <c r="E21">
        <v>373</v>
      </c>
      <c r="F21">
        <v>485</v>
      </c>
      <c r="G21">
        <f t="shared" si="0"/>
        <v>60</v>
      </c>
    </row>
    <row r="22" spans="2:7" x14ac:dyDescent="0.2">
      <c r="B22">
        <v>7</v>
      </c>
      <c r="C22">
        <v>73655</v>
      </c>
      <c r="D22">
        <v>1020</v>
      </c>
      <c r="E22">
        <v>432</v>
      </c>
      <c r="F22">
        <v>591</v>
      </c>
      <c r="G22">
        <f t="shared" si="0"/>
        <v>1020</v>
      </c>
    </row>
    <row r="23" spans="2:7" x14ac:dyDescent="0.2">
      <c r="B23">
        <v>7</v>
      </c>
      <c r="C23">
        <v>73655</v>
      </c>
      <c r="D23">
        <v>3120</v>
      </c>
      <c r="E23">
        <v>457</v>
      </c>
      <c r="F23">
        <v>535</v>
      </c>
      <c r="G23">
        <f t="shared" si="0"/>
        <v>3120</v>
      </c>
    </row>
    <row r="24" spans="2:7" x14ac:dyDescent="0.2">
      <c r="B24">
        <v>8</v>
      </c>
      <c r="C24">
        <v>40816</v>
      </c>
      <c r="D24">
        <v>60</v>
      </c>
      <c r="E24">
        <v>326</v>
      </c>
      <c r="F24">
        <v>455</v>
      </c>
      <c r="G24">
        <f t="shared" si="0"/>
        <v>60</v>
      </c>
    </row>
    <row r="25" spans="2:7" x14ac:dyDescent="0.2">
      <c r="B25">
        <v>8</v>
      </c>
      <c r="C25">
        <v>40816</v>
      </c>
      <c r="D25">
        <v>1020</v>
      </c>
      <c r="E25">
        <v>524</v>
      </c>
      <c r="F25">
        <v>571</v>
      </c>
      <c r="G25">
        <f t="shared" si="0"/>
        <v>1020</v>
      </c>
    </row>
    <row r="26" spans="2:7" x14ac:dyDescent="0.2">
      <c r="B26">
        <v>8</v>
      </c>
      <c r="C26">
        <v>40816</v>
      </c>
      <c r="D26">
        <v>3120</v>
      </c>
      <c r="E26">
        <v>425</v>
      </c>
      <c r="F26">
        <v>625</v>
      </c>
      <c r="G26">
        <f t="shared" si="0"/>
        <v>3120</v>
      </c>
    </row>
    <row r="27" spans="2:7" x14ac:dyDescent="0.2">
      <c r="B27">
        <v>9</v>
      </c>
      <c r="C27">
        <v>68599</v>
      </c>
      <c r="D27">
        <v>60</v>
      </c>
      <c r="E27">
        <v>310</v>
      </c>
      <c r="F27">
        <v>459</v>
      </c>
      <c r="G27">
        <f t="shared" si="0"/>
        <v>60</v>
      </c>
    </row>
    <row r="28" spans="2:7" x14ac:dyDescent="0.2">
      <c r="B28">
        <v>9</v>
      </c>
      <c r="C28">
        <v>68599</v>
      </c>
      <c r="D28">
        <v>1020</v>
      </c>
      <c r="E28">
        <v>512</v>
      </c>
      <c r="F28">
        <v>508</v>
      </c>
      <c r="G28">
        <f t="shared" si="0"/>
        <v>1020</v>
      </c>
    </row>
    <row r="29" spans="2:7" x14ac:dyDescent="0.2">
      <c r="B29">
        <v>9</v>
      </c>
      <c r="C29">
        <v>68599</v>
      </c>
      <c r="D29">
        <v>3120</v>
      </c>
      <c r="E29">
        <v>401</v>
      </c>
      <c r="F29">
        <v>625</v>
      </c>
      <c r="G29">
        <f t="shared" si="0"/>
        <v>3120</v>
      </c>
    </row>
    <row r="30" spans="2:7" x14ac:dyDescent="0.2">
      <c r="B30">
        <v>10</v>
      </c>
      <c r="C30">
        <v>61595</v>
      </c>
      <c r="D30">
        <v>60</v>
      </c>
      <c r="E30">
        <v>303</v>
      </c>
      <c r="F30">
        <v>445</v>
      </c>
      <c r="G30">
        <f t="shared" si="0"/>
        <v>60</v>
      </c>
    </row>
    <row r="31" spans="2:7" x14ac:dyDescent="0.2">
      <c r="B31">
        <v>10</v>
      </c>
      <c r="C31">
        <v>61595</v>
      </c>
      <c r="D31">
        <v>1020</v>
      </c>
      <c r="E31">
        <v>403</v>
      </c>
      <c r="F31">
        <v>586</v>
      </c>
      <c r="G31">
        <f t="shared" si="0"/>
        <v>1020</v>
      </c>
    </row>
    <row r="32" spans="2:7" x14ac:dyDescent="0.2">
      <c r="B32">
        <v>10</v>
      </c>
      <c r="C32">
        <v>61595</v>
      </c>
      <c r="D32">
        <v>3120</v>
      </c>
      <c r="E32">
        <v>312</v>
      </c>
      <c r="F32">
        <v>715</v>
      </c>
      <c r="G32">
        <f t="shared" si="0"/>
        <v>3120</v>
      </c>
    </row>
    <row r="33" spans="2:7" x14ac:dyDescent="0.2">
      <c r="B33">
        <v>11</v>
      </c>
      <c r="C33">
        <v>369</v>
      </c>
      <c r="D33">
        <v>60</v>
      </c>
      <c r="E33">
        <v>305</v>
      </c>
      <c r="F33">
        <v>392</v>
      </c>
      <c r="G33">
        <f t="shared" si="0"/>
        <v>60</v>
      </c>
    </row>
    <row r="34" spans="2:7" x14ac:dyDescent="0.2">
      <c r="B34">
        <v>11</v>
      </c>
      <c r="C34">
        <v>369</v>
      </c>
      <c r="D34">
        <v>1023</v>
      </c>
      <c r="E34">
        <v>414</v>
      </c>
      <c r="F34">
        <v>484</v>
      </c>
      <c r="G34">
        <f t="shared" si="0"/>
        <v>1020</v>
      </c>
    </row>
    <row r="35" spans="2:7" x14ac:dyDescent="0.2">
      <c r="B35">
        <v>11</v>
      </c>
      <c r="C35">
        <v>369</v>
      </c>
      <c r="D35">
        <v>3120</v>
      </c>
      <c r="E35">
        <v>416</v>
      </c>
      <c r="F35">
        <v>535</v>
      </c>
      <c r="G35">
        <f t="shared" si="0"/>
        <v>3120</v>
      </c>
    </row>
    <row r="36" spans="2:7" x14ac:dyDescent="0.2">
      <c r="B36">
        <v>12</v>
      </c>
      <c r="C36">
        <v>74173</v>
      </c>
      <c r="D36">
        <v>60</v>
      </c>
      <c r="E36">
        <v>363</v>
      </c>
      <c r="F36">
        <v>486</v>
      </c>
      <c r="G36">
        <f t="shared" si="0"/>
        <v>60</v>
      </c>
    </row>
    <row r="37" spans="2:7" x14ac:dyDescent="0.2">
      <c r="B37">
        <v>12</v>
      </c>
      <c r="C37">
        <v>74173</v>
      </c>
      <c r="D37">
        <v>1020</v>
      </c>
      <c r="E37">
        <v>419</v>
      </c>
      <c r="F37">
        <v>419</v>
      </c>
      <c r="G37">
        <f t="shared" si="0"/>
        <v>1020</v>
      </c>
    </row>
    <row r="38" spans="2:7" x14ac:dyDescent="0.2">
      <c r="B38">
        <v>12</v>
      </c>
      <c r="C38">
        <v>74173</v>
      </c>
      <c r="D38">
        <v>3120</v>
      </c>
      <c r="E38">
        <v>403</v>
      </c>
      <c r="F38">
        <v>715</v>
      </c>
      <c r="G38">
        <f t="shared" si="0"/>
        <v>3120</v>
      </c>
    </row>
    <row r="39" spans="2:7" x14ac:dyDescent="0.2">
      <c r="B39">
        <v>13</v>
      </c>
      <c r="C39">
        <v>80412</v>
      </c>
      <c r="D39">
        <v>60</v>
      </c>
      <c r="E39">
        <v>363</v>
      </c>
      <c r="F39">
        <v>469</v>
      </c>
      <c r="G39">
        <f t="shared" si="0"/>
        <v>60</v>
      </c>
    </row>
    <row r="40" spans="2:7" x14ac:dyDescent="0.2">
      <c r="B40">
        <v>13</v>
      </c>
      <c r="C40">
        <v>80412</v>
      </c>
      <c r="D40">
        <v>1020</v>
      </c>
      <c r="E40">
        <v>419</v>
      </c>
      <c r="F40">
        <v>605</v>
      </c>
      <c r="G40">
        <f t="shared" si="0"/>
        <v>1020</v>
      </c>
    </row>
    <row r="41" spans="2:7" x14ac:dyDescent="0.2">
      <c r="B41">
        <v>13</v>
      </c>
      <c r="C41">
        <v>80412</v>
      </c>
      <c r="D41">
        <v>3120</v>
      </c>
      <c r="E41">
        <v>403</v>
      </c>
      <c r="F41">
        <v>552</v>
      </c>
      <c r="G41">
        <f t="shared" si="0"/>
        <v>3120</v>
      </c>
    </row>
    <row r="42" spans="2:7" x14ac:dyDescent="0.2">
      <c r="B42">
        <v>14</v>
      </c>
      <c r="C42">
        <v>53617</v>
      </c>
      <c r="D42">
        <v>60</v>
      </c>
      <c r="E42">
        <v>301</v>
      </c>
      <c r="F42">
        <v>461</v>
      </c>
      <c r="G42">
        <f t="shared" si="0"/>
        <v>60</v>
      </c>
    </row>
    <row r="43" spans="2:7" x14ac:dyDescent="0.2">
      <c r="B43">
        <v>14</v>
      </c>
      <c r="C43">
        <v>53617</v>
      </c>
      <c r="D43">
        <v>1020</v>
      </c>
      <c r="E43">
        <v>382</v>
      </c>
      <c r="F43">
        <v>476</v>
      </c>
      <c r="G43">
        <f t="shared" si="0"/>
        <v>1020</v>
      </c>
    </row>
    <row r="44" spans="2:7" x14ac:dyDescent="0.2">
      <c r="B44">
        <v>14</v>
      </c>
      <c r="C44">
        <v>53617</v>
      </c>
      <c r="D44">
        <v>3120</v>
      </c>
      <c r="E44">
        <v>589</v>
      </c>
      <c r="F44">
        <v>625</v>
      </c>
      <c r="G44">
        <f t="shared" si="0"/>
        <v>3120</v>
      </c>
    </row>
    <row r="45" spans="2:7" x14ac:dyDescent="0.2">
      <c r="B45">
        <v>15</v>
      </c>
      <c r="C45">
        <v>97256</v>
      </c>
      <c r="D45">
        <v>60</v>
      </c>
      <c r="E45">
        <v>330</v>
      </c>
      <c r="F45">
        <v>450</v>
      </c>
      <c r="G45">
        <f t="shared" si="0"/>
        <v>60</v>
      </c>
    </row>
    <row r="46" spans="2:7" x14ac:dyDescent="0.2">
      <c r="B46">
        <v>15</v>
      </c>
      <c r="C46">
        <v>97256</v>
      </c>
      <c r="D46">
        <v>1020</v>
      </c>
      <c r="E46">
        <v>348</v>
      </c>
      <c r="F46">
        <v>483</v>
      </c>
      <c r="G46">
        <f t="shared" si="0"/>
        <v>1020</v>
      </c>
    </row>
    <row r="47" spans="2:7" x14ac:dyDescent="0.2">
      <c r="B47">
        <v>15</v>
      </c>
      <c r="C47">
        <v>97256</v>
      </c>
      <c r="D47">
        <v>3120</v>
      </c>
      <c r="E47">
        <v>459</v>
      </c>
      <c r="F47">
        <v>538</v>
      </c>
      <c r="G47">
        <f t="shared" si="0"/>
        <v>3120</v>
      </c>
    </row>
    <row r="48" spans="2:7" x14ac:dyDescent="0.2">
      <c r="B48">
        <v>16</v>
      </c>
      <c r="C48">
        <v>90080</v>
      </c>
      <c r="D48">
        <v>60</v>
      </c>
      <c r="E48">
        <v>307</v>
      </c>
      <c r="F48">
        <v>480</v>
      </c>
      <c r="G48">
        <f t="shared" si="0"/>
        <v>60</v>
      </c>
    </row>
    <row r="49" spans="2:7" x14ac:dyDescent="0.2">
      <c r="B49">
        <v>16</v>
      </c>
      <c r="C49">
        <v>90080</v>
      </c>
      <c r="D49">
        <v>1022</v>
      </c>
      <c r="E49">
        <v>399</v>
      </c>
      <c r="F49">
        <v>494</v>
      </c>
      <c r="G49">
        <f t="shared" si="0"/>
        <v>1020</v>
      </c>
    </row>
    <row r="50" spans="2:7" x14ac:dyDescent="0.2">
      <c r="B50">
        <v>16</v>
      </c>
      <c r="C50">
        <v>90080</v>
      </c>
      <c r="D50">
        <v>3120</v>
      </c>
      <c r="E50">
        <v>527</v>
      </c>
      <c r="F50">
        <v>623</v>
      </c>
      <c r="G50">
        <f t="shared" si="0"/>
        <v>3120</v>
      </c>
    </row>
    <row r="51" spans="2:7" x14ac:dyDescent="0.2">
      <c r="B51">
        <v>17</v>
      </c>
      <c r="C51">
        <v>68774</v>
      </c>
      <c r="D51">
        <v>60</v>
      </c>
      <c r="E51">
        <v>353</v>
      </c>
      <c r="F51">
        <v>454</v>
      </c>
      <c r="G51">
        <f t="shared" si="0"/>
        <v>60</v>
      </c>
    </row>
    <row r="52" spans="2:7" x14ac:dyDescent="0.2">
      <c r="B52">
        <v>17</v>
      </c>
      <c r="C52">
        <v>68774</v>
      </c>
      <c r="D52">
        <v>1020</v>
      </c>
      <c r="E52">
        <v>368</v>
      </c>
      <c r="F52">
        <v>576</v>
      </c>
      <c r="G52">
        <f t="shared" si="0"/>
        <v>1020</v>
      </c>
    </row>
    <row r="53" spans="2:7" x14ac:dyDescent="0.2">
      <c r="B53">
        <v>17</v>
      </c>
      <c r="C53">
        <v>68774</v>
      </c>
      <c r="D53">
        <v>3120</v>
      </c>
      <c r="E53">
        <v>371</v>
      </c>
      <c r="F53">
        <v>726</v>
      </c>
      <c r="G53">
        <f t="shared" si="0"/>
        <v>3120</v>
      </c>
    </row>
    <row r="54" spans="2:7" x14ac:dyDescent="0.2">
      <c r="B54">
        <v>18</v>
      </c>
      <c r="C54">
        <v>15626</v>
      </c>
      <c r="D54">
        <v>60</v>
      </c>
      <c r="E54">
        <v>365</v>
      </c>
      <c r="F54">
        <v>461</v>
      </c>
      <c r="G54">
        <f t="shared" si="0"/>
        <v>60</v>
      </c>
    </row>
    <row r="55" spans="2:7" x14ac:dyDescent="0.2">
      <c r="B55">
        <v>18</v>
      </c>
      <c r="C55">
        <v>15626</v>
      </c>
      <c r="D55">
        <v>1024</v>
      </c>
      <c r="E55">
        <v>358</v>
      </c>
      <c r="F55">
        <v>403</v>
      </c>
      <c r="G55">
        <f t="shared" si="0"/>
        <v>1020</v>
      </c>
    </row>
    <row r="56" spans="2:7" x14ac:dyDescent="0.2">
      <c r="B56">
        <v>18</v>
      </c>
      <c r="C56">
        <v>15626</v>
      </c>
      <c r="D56">
        <v>3120</v>
      </c>
      <c r="E56">
        <v>415</v>
      </c>
      <c r="F56">
        <v>625</v>
      </c>
      <c r="G56">
        <f t="shared" si="0"/>
        <v>3120</v>
      </c>
    </row>
    <row r="57" spans="2:7" x14ac:dyDescent="0.2">
      <c r="B57">
        <v>19</v>
      </c>
      <c r="C57">
        <v>41482</v>
      </c>
      <c r="D57">
        <v>60</v>
      </c>
      <c r="E57">
        <v>358</v>
      </c>
      <c r="F57">
        <v>450</v>
      </c>
      <c r="G57">
        <f t="shared" si="0"/>
        <v>60</v>
      </c>
    </row>
    <row r="58" spans="2:7" x14ac:dyDescent="0.2">
      <c r="B58">
        <v>19</v>
      </c>
      <c r="C58">
        <v>41482</v>
      </c>
      <c r="D58">
        <v>1022</v>
      </c>
      <c r="E58">
        <v>395</v>
      </c>
      <c r="F58">
        <v>513</v>
      </c>
      <c r="G58">
        <f t="shared" si="0"/>
        <v>1020</v>
      </c>
    </row>
    <row r="59" spans="2:7" x14ac:dyDescent="0.2">
      <c r="B59">
        <v>19</v>
      </c>
      <c r="C59">
        <v>41482</v>
      </c>
      <c r="D59">
        <v>3120</v>
      </c>
      <c r="E59">
        <v>432</v>
      </c>
      <c r="F59">
        <v>577</v>
      </c>
      <c r="G59">
        <f t="shared" si="0"/>
        <v>3120</v>
      </c>
    </row>
    <row r="60" spans="2:7" x14ac:dyDescent="0.2">
      <c r="B60">
        <v>20</v>
      </c>
      <c r="C60">
        <v>18461</v>
      </c>
      <c r="D60">
        <v>60</v>
      </c>
      <c r="E60">
        <v>306</v>
      </c>
      <c r="F60">
        <v>537</v>
      </c>
      <c r="G60">
        <f t="shared" si="0"/>
        <v>60</v>
      </c>
    </row>
    <row r="61" spans="2:7" x14ac:dyDescent="0.2">
      <c r="B61">
        <v>20</v>
      </c>
      <c r="C61">
        <v>18461</v>
      </c>
      <c r="D61">
        <v>1020</v>
      </c>
      <c r="E61">
        <v>471</v>
      </c>
      <c r="F61">
        <v>572</v>
      </c>
      <c r="G61">
        <f t="shared" si="0"/>
        <v>1020</v>
      </c>
    </row>
    <row r="62" spans="2:7" x14ac:dyDescent="0.2">
      <c r="B62">
        <v>20</v>
      </c>
      <c r="C62">
        <v>18461</v>
      </c>
      <c r="D62">
        <v>3120</v>
      </c>
      <c r="E62">
        <v>489</v>
      </c>
      <c r="F62">
        <v>626</v>
      </c>
      <c r="G62">
        <f t="shared" si="0"/>
        <v>3120</v>
      </c>
    </row>
    <row r="63" spans="2:7" x14ac:dyDescent="0.2">
      <c r="C63">
        <v>81612</v>
      </c>
      <c r="D63">
        <v>60</v>
      </c>
      <c r="E63">
        <v>287</v>
      </c>
      <c r="F63">
        <v>382</v>
      </c>
      <c r="G63">
        <f t="shared" si="0"/>
        <v>60</v>
      </c>
    </row>
    <row r="64" spans="2:7" x14ac:dyDescent="0.2">
      <c r="C64">
        <v>81612</v>
      </c>
      <c r="D64">
        <v>1021</v>
      </c>
      <c r="E64">
        <v>362</v>
      </c>
      <c r="F64">
        <v>476</v>
      </c>
      <c r="G64">
        <f t="shared" si="0"/>
        <v>1020</v>
      </c>
    </row>
    <row r="65" spans="3:7" x14ac:dyDescent="0.2">
      <c r="C65">
        <v>81612</v>
      </c>
      <c r="D65">
        <v>3122</v>
      </c>
      <c r="E65">
        <v>537</v>
      </c>
      <c r="F65">
        <v>659</v>
      </c>
      <c r="G65">
        <f t="shared" si="0"/>
        <v>3120</v>
      </c>
    </row>
    <row r="66" spans="3:7" x14ac:dyDescent="0.2">
      <c r="C66">
        <v>71488</v>
      </c>
      <c r="D66">
        <v>60</v>
      </c>
      <c r="E66">
        <v>328</v>
      </c>
      <c r="F66">
        <v>535</v>
      </c>
      <c r="G66">
        <f t="shared" si="0"/>
        <v>60</v>
      </c>
    </row>
    <row r="67" spans="3:7" x14ac:dyDescent="0.2">
      <c r="C67">
        <v>71488</v>
      </c>
      <c r="D67">
        <v>1021</v>
      </c>
      <c r="E67">
        <v>386</v>
      </c>
      <c r="F67">
        <v>560</v>
      </c>
      <c r="G67">
        <f t="shared" ref="G67:G130" si="1">IF(D67&lt;=540,60,IF(D67&lt;=2070,1020,3120))</f>
        <v>1020</v>
      </c>
    </row>
    <row r="68" spans="3:7" x14ac:dyDescent="0.2">
      <c r="C68">
        <v>71488</v>
      </c>
      <c r="D68">
        <v>3120</v>
      </c>
      <c r="E68">
        <v>573</v>
      </c>
      <c r="F68">
        <v>720</v>
      </c>
      <c r="G68">
        <f t="shared" si="1"/>
        <v>3120</v>
      </c>
    </row>
    <row r="69" spans="3:7" x14ac:dyDescent="0.2">
      <c r="C69">
        <v>49915</v>
      </c>
      <c r="D69">
        <v>60</v>
      </c>
      <c r="E69">
        <v>357</v>
      </c>
      <c r="F69">
        <v>478</v>
      </c>
      <c r="G69">
        <f t="shared" si="1"/>
        <v>60</v>
      </c>
    </row>
    <row r="70" spans="3:7" x14ac:dyDescent="0.2">
      <c r="C70">
        <v>49915</v>
      </c>
      <c r="D70">
        <v>1020</v>
      </c>
      <c r="E70">
        <v>394</v>
      </c>
      <c r="F70">
        <v>475</v>
      </c>
      <c r="G70">
        <f t="shared" si="1"/>
        <v>1020</v>
      </c>
    </row>
    <row r="71" spans="3:7" x14ac:dyDescent="0.2">
      <c r="C71">
        <v>49915</v>
      </c>
      <c r="D71">
        <v>3120</v>
      </c>
      <c r="E71">
        <v>496</v>
      </c>
      <c r="F71">
        <v>626</v>
      </c>
      <c r="G71">
        <f t="shared" si="1"/>
        <v>3120</v>
      </c>
    </row>
    <row r="72" spans="3:7" x14ac:dyDescent="0.2">
      <c r="C72">
        <v>19051</v>
      </c>
      <c r="D72">
        <v>60</v>
      </c>
      <c r="E72">
        <v>315</v>
      </c>
      <c r="F72">
        <v>445</v>
      </c>
      <c r="G72">
        <f t="shared" si="1"/>
        <v>60</v>
      </c>
    </row>
    <row r="73" spans="3:7" x14ac:dyDescent="0.2">
      <c r="C73">
        <v>19051</v>
      </c>
      <c r="D73">
        <v>1020</v>
      </c>
      <c r="E73">
        <v>441</v>
      </c>
      <c r="F73">
        <v>578</v>
      </c>
      <c r="G73">
        <f t="shared" si="1"/>
        <v>1020</v>
      </c>
    </row>
    <row r="74" spans="3:7" x14ac:dyDescent="0.2">
      <c r="C74">
        <v>19051</v>
      </c>
      <c r="D74">
        <v>3120</v>
      </c>
      <c r="E74">
        <v>351</v>
      </c>
      <c r="F74">
        <v>753</v>
      </c>
      <c r="G74">
        <f t="shared" si="1"/>
        <v>3120</v>
      </c>
    </row>
    <row r="75" spans="3:7" x14ac:dyDescent="0.2">
      <c r="C75">
        <v>21591</v>
      </c>
      <c r="D75">
        <v>60</v>
      </c>
      <c r="E75">
        <v>353</v>
      </c>
      <c r="F75">
        <v>445</v>
      </c>
      <c r="G75">
        <f t="shared" si="1"/>
        <v>60</v>
      </c>
    </row>
    <row r="76" spans="3:7" x14ac:dyDescent="0.2">
      <c r="C76">
        <v>21591</v>
      </c>
      <c r="D76">
        <v>1020</v>
      </c>
      <c r="E76">
        <v>338</v>
      </c>
      <c r="F76">
        <v>559</v>
      </c>
      <c r="G76">
        <f t="shared" si="1"/>
        <v>1020</v>
      </c>
    </row>
    <row r="77" spans="3:7" x14ac:dyDescent="0.2">
      <c r="C77">
        <v>21591</v>
      </c>
      <c r="D77">
        <v>3120</v>
      </c>
      <c r="E77">
        <v>579</v>
      </c>
      <c r="F77">
        <v>632</v>
      </c>
      <c r="G77">
        <f t="shared" si="1"/>
        <v>3120</v>
      </c>
    </row>
    <row r="78" spans="3:7" x14ac:dyDescent="0.2">
      <c r="C78">
        <v>1840</v>
      </c>
      <c r="D78">
        <v>60</v>
      </c>
      <c r="E78">
        <v>308</v>
      </c>
      <c r="F78">
        <v>459</v>
      </c>
      <c r="G78">
        <f t="shared" si="1"/>
        <v>60</v>
      </c>
    </row>
    <row r="79" spans="3:7" x14ac:dyDescent="0.2">
      <c r="C79">
        <v>1840</v>
      </c>
      <c r="D79">
        <v>1023</v>
      </c>
      <c r="E79">
        <v>429</v>
      </c>
      <c r="F79">
        <v>494</v>
      </c>
      <c r="G79">
        <f t="shared" si="1"/>
        <v>1020</v>
      </c>
    </row>
    <row r="80" spans="3:7" x14ac:dyDescent="0.2">
      <c r="C80">
        <v>1840</v>
      </c>
      <c r="D80">
        <v>3120</v>
      </c>
      <c r="E80">
        <v>408</v>
      </c>
      <c r="F80">
        <v>714</v>
      </c>
      <c r="G80">
        <f t="shared" si="1"/>
        <v>3120</v>
      </c>
    </row>
    <row r="81" spans="3:7" x14ac:dyDescent="0.2">
      <c r="C81">
        <v>5917</v>
      </c>
      <c r="D81">
        <v>60</v>
      </c>
      <c r="E81">
        <v>366</v>
      </c>
      <c r="F81">
        <v>465</v>
      </c>
      <c r="G81">
        <f t="shared" si="1"/>
        <v>60</v>
      </c>
    </row>
    <row r="82" spans="3:7" x14ac:dyDescent="0.2">
      <c r="C82">
        <v>5917</v>
      </c>
      <c r="D82">
        <v>1025</v>
      </c>
      <c r="E82">
        <v>399</v>
      </c>
      <c r="F82">
        <v>595</v>
      </c>
      <c r="G82">
        <f t="shared" si="1"/>
        <v>1020</v>
      </c>
    </row>
    <row r="83" spans="3:7" x14ac:dyDescent="0.2">
      <c r="C83">
        <v>5917</v>
      </c>
      <c r="D83">
        <v>3120</v>
      </c>
      <c r="E83">
        <v>392</v>
      </c>
      <c r="F83">
        <v>535</v>
      </c>
      <c r="G83">
        <f t="shared" si="1"/>
        <v>3120</v>
      </c>
    </row>
    <row r="84" spans="3:7" x14ac:dyDescent="0.2">
      <c r="C84">
        <v>77965</v>
      </c>
      <c r="D84">
        <v>60</v>
      </c>
      <c r="E84">
        <v>345</v>
      </c>
      <c r="F84">
        <v>391</v>
      </c>
      <c r="G84">
        <f t="shared" si="1"/>
        <v>60</v>
      </c>
    </row>
    <row r="85" spans="3:7" x14ac:dyDescent="0.2">
      <c r="C85">
        <v>77965</v>
      </c>
      <c r="D85">
        <v>1022</v>
      </c>
      <c r="E85">
        <v>322</v>
      </c>
      <c r="F85">
        <v>656</v>
      </c>
      <c r="G85">
        <f t="shared" si="1"/>
        <v>1020</v>
      </c>
    </row>
    <row r="86" spans="3:7" x14ac:dyDescent="0.2">
      <c r="C86">
        <v>77965</v>
      </c>
      <c r="D86">
        <v>3120</v>
      </c>
      <c r="E86">
        <v>475</v>
      </c>
      <c r="F86">
        <v>715</v>
      </c>
      <c r="G86">
        <f t="shared" si="1"/>
        <v>3120</v>
      </c>
    </row>
    <row r="87" spans="3:7" x14ac:dyDescent="0.2">
      <c r="C87">
        <v>69188</v>
      </c>
      <c r="D87">
        <v>60</v>
      </c>
      <c r="E87">
        <v>342</v>
      </c>
      <c r="F87">
        <v>471</v>
      </c>
      <c r="G87">
        <f t="shared" si="1"/>
        <v>60</v>
      </c>
    </row>
    <row r="88" spans="3:7" x14ac:dyDescent="0.2">
      <c r="C88">
        <v>69188</v>
      </c>
      <c r="D88">
        <v>1020</v>
      </c>
      <c r="E88">
        <v>360</v>
      </c>
      <c r="F88">
        <v>489</v>
      </c>
      <c r="G88">
        <f t="shared" si="1"/>
        <v>1020</v>
      </c>
    </row>
    <row r="89" spans="3:7" x14ac:dyDescent="0.2">
      <c r="C89">
        <v>69188</v>
      </c>
      <c r="D89">
        <v>3120</v>
      </c>
      <c r="E89">
        <v>367</v>
      </c>
      <c r="F89">
        <v>625</v>
      </c>
      <c r="G89">
        <f t="shared" si="1"/>
        <v>3120</v>
      </c>
    </row>
    <row r="90" spans="3:7" x14ac:dyDescent="0.2">
      <c r="C90">
        <v>17290</v>
      </c>
      <c r="D90">
        <v>60</v>
      </c>
      <c r="E90">
        <v>353</v>
      </c>
      <c r="F90">
        <v>448</v>
      </c>
      <c r="G90">
        <f t="shared" si="1"/>
        <v>60</v>
      </c>
    </row>
    <row r="91" spans="3:7" x14ac:dyDescent="0.2">
      <c r="C91">
        <v>17290</v>
      </c>
      <c r="D91">
        <v>1020</v>
      </c>
      <c r="E91">
        <v>465</v>
      </c>
      <c r="F91">
        <v>481</v>
      </c>
      <c r="G91">
        <f t="shared" si="1"/>
        <v>1020</v>
      </c>
    </row>
    <row r="92" spans="3:7" x14ac:dyDescent="0.2">
      <c r="C92">
        <v>17290</v>
      </c>
      <c r="D92">
        <v>3120</v>
      </c>
      <c r="E92">
        <v>535</v>
      </c>
      <c r="F92">
        <v>625</v>
      </c>
      <c r="G92">
        <f t="shared" si="1"/>
        <v>3120</v>
      </c>
    </row>
    <row r="93" spans="3:7" x14ac:dyDescent="0.2">
      <c r="C93">
        <v>17214</v>
      </c>
      <c r="D93">
        <v>60</v>
      </c>
      <c r="E93">
        <v>309</v>
      </c>
      <c r="F93">
        <v>450</v>
      </c>
      <c r="G93">
        <f t="shared" si="1"/>
        <v>60</v>
      </c>
    </row>
    <row r="94" spans="3:7" x14ac:dyDescent="0.2">
      <c r="C94">
        <v>17214</v>
      </c>
      <c r="D94">
        <v>1020</v>
      </c>
      <c r="E94">
        <v>379</v>
      </c>
      <c r="F94">
        <v>665</v>
      </c>
      <c r="G94">
        <f t="shared" si="1"/>
        <v>1020</v>
      </c>
    </row>
    <row r="95" spans="3:7" x14ac:dyDescent="0.2">
      <c r="C95">
        <v>17214</v>
      </c>
      <c r="D95">
        <v>3120</v>
      </c>
      <c r="E95">
        <v>511</v>
      </c>
      <c r="F95">
        <v>719</v>
      </c>
      <c r="G95">
        <f t="shared" si="1"/>
        <v>3120</v>
      </c>
    </row>
    <row r="96" spans="3:7" x14ac:dyDescent="0.2">
      <c r="C96">
        <v>36379</v>
      </c>
      <c r="D96">
        <v>60</v>
      </c>
      <c r="E96">
        <v>306</v>
      </c>
      <c r="F96">
        <v>451</v>
      </c>
      <c r="G96">
        <f t="shared" si="1"/>
        <v>60</v>
      </c>
    </row>
    <row r="97" spans="3:7" x14ac:dyDescent="0.2">
      <c r="C97">
        <v>36379</v>
      </c>
      <c r="D97">
        <v>1021</v>
      </c>
      <c r="E97">
        <v>339</v>
      </c>
      <c r="F97">
        <v>657</v>
      </c>
      <c r="G97">
        <f t="shared" si="1"/>
        <v>1020</v>
      </c>
    </row>
    <row r="98" spans="3:7" x14ac:dyDescent="0.2">
      <c r="C98">
        <v>36379</v>
      </c>
      <c r="D98">
        <v>3122</v>
      </c>
      <c r="E98">
        <v>476</v>
      </c>
      <c r="F98">
        <v>533</v>
      </c>
      <c r="G98">
        <f t="shared" si="1"/>
        <v>3120</v>
      </c>
    </row>
    <row r="99" spans="3:7" x14ac:dyDescent="0.2">
      <c r="C99">
        <v>65999</v>
      </c>
      <c r="D99">
        <v>60</v>
      </c>
      <c r="E99">
        <v>349</v>
      </c>
      <c r="F99">
        <v>385</v>
      </c>
      <c r="G99">
        <f t="shared" si="1"/>
        <v>60</v>
      </c>
    </row>
    <row r="100" spans="3:7" x14ac:dyDescent="0.2">
      <c r="C100">
        <v>65999</v>
      </c>
      <c r="D100">
        <v>1023</v>
      </c>
      <c r="E100">
        <v>397</v>
      </c>
      <c r="F100">
        <v>487</v>
      </c>
      <c r="G100">
        <f t="shared" si="1"/>
        <v>1020</v>
      </c>
    </row>
    <row r="101" spans="3:7" x14ac:dyDescent="0.2">
      <c r="C101">
        <v>65999</v>
      </c>
      <c r="D101">
        <v>3120</v>
      </c>
      <c r="E101">
        <v>352</v>
      </c>
      <c r="F101">
        <v>535</v>
      </c>
      <c r="G101">
        <f t="shared" si="1"/>
        <v>3120</v>
      </c>
    </row>
    <row r="102" spans="3:7" x14ac:dyDescent="0.2">
      <c r="C102">
        <v>27400</v>
      </c>
      <c r="D102">
        <v>60</v>
      </c>
      <c r="E102">
        <v>353</v>
      </c>
      <c r="F102">
        <v>452</v>
      </c>
      <c r="G102">
        <f t="shared" si="1"/>
        <v>60</v>
      </c>
    </row>
    <row r="103" spans="3:7" x14ac:dyDescent="0.2">
      <c r="C103">
        <v>27400</v>
      </c>
      <c r="D103">
        <v>1020</v>
      </c>
      <c r="E103">
        <v>422</v>
      </c>
      <c r="F103">
        <v>493</v>
      </c>
      <c r="G103">
        <f t="shared" si="1"/>
        <v>1020</v>
      </c>
    </row>
    <row r="104" spans="3:7" x14ac:dyDescent="0.2">
      <c r="C104">
        <v>27400</v>
      </c>
      <c r="D104">
        <v>3120</v>
      </c>
      <c r="E104">
        <v>479</v>
      </c>
      <c r="F104">
        <v>714</v>
      </c>
      <c r="G104">
        <f t="shared" si="1"/>
        <v>3120</v>
      </c>
    </row>
    <row r="105" spans="3:7" x14ac:dyDescent="0.2">
      <c r="C105">
        <v>1960</v>
      </c>
      <c r="D105">
        <v>60</v>
      </c>
      <c r="E105">
        <v>331</v>
      </c>
      <c r="F105">
        <v>468</v>
      </c>
      <c r="G105">
        <f t="shared" si="1"/>
        <v>60</v>
      </c>
    </row>
    <row r="106" spans="3:7" x14ac:dyDescent="0.2">
      <c r="C106">
        <v>1960</v>
      </c>
      <c r="D106">
        <v>1020</v>
      </c>
      <c r="E106">
        <v>416</v>
      </c>
      <c r="F106">
        <v>483</v>
      </c>
      <c r="G106">
        <f t="shared" si="1"/>
        <v>1020</v>
      </c>
    </row>
    <row r="107" spans="3:7" x14ac:dyDescent="0.2">
      <c r="C107">
        <v>1960</v>
      </c>
      <c r="D107">
        <v>3120</v>
      </c>
      <c r="E107">
        <v>337</v>
      </c>
      <c r="F107">
        <v>625</v>
      </c>
      <c r="G107">
        <f t="shared" si="1"/>
        <v>3120</v>
      </c>
    </row>
    <row r="108" spans="3:7" x14ac:dyDescent="0.2">
      <c r="C108">
        <v>54620</v>
      </c>
      <c r="D108">
        <v>60</v>
      </c>
      <c r="E108">
        <v>356</v>
      </c>
      <c r="F108">
        <v>445</v>
      </c>
      <c r="G108">
        <f t="shared" si="1"/>
        <v>60</v>
      </c>
    </row>
    <row r="109" spans="3:7" x14ac:dyDescent="0.2">
      <c r="C109">
        <v>54620</v>
      </c>
      <c r="D109">
        <v>1020</v>
      </c>
      <c r="E109">
        <v>433</v>
      </c>
      <c r="F109">
        <v>484</v>
      </c>
      <c r="G109">
        <f t="shared" si="1"/>
        <v>1020</v>
      </c>
    </row>
    <row r="110" spans="3:7" x14ac:dyDescent="0.2">
      <c r="C110">
        <v>54620</v>
      </c>
      <c r="D110">
        <v>3120</v>
      </c>
      <c r="E110">
        <v>414</v>
      </c>
      <c r="F110">
        <v>534</v>
      </c>
      <c r="G110">
        <f t="shared" si="1"/>
        <v>3120</v>
      </c>
    </row>
    <row r="111" spans="3:7" x14ac:dyDescent="0.2">
      <c r="C111">
        <v>34617</v>
      </c>
      <c r="D111">
        <v>60</v>
      </c>
      <c r="E111">
        <v>358</v>
      </c>
      <c r="F111">
        <v>449</v>
      </c>
      <c r="G111">
        <f t="shared" si="1"/>
        <v>60</v>
      </c>
    </row>
    <row r="112" spans="3:7" x14ac:dyDescent="0.2">
      <c r="C112">
        <v>34617</v>
      </c>
      <c r="D112">
        <v>1020</v>
      </c>
      <c r="E112">
        <v>451</v>
      </c>
      <c r="F112">
        <v>577</v>
      </c>
      <c r="G112">
        <f t="shared" si="1"/>
        <v>1020</v>
      </c>
    </row>
    <row r="113" spans="3:7" x14ac:dyDescent="0.2">
      <c r="C113">
        <v>34617</v>
      </c>
      <c r="D113">
        <v>3120</v>
      </c>
      <c r="E113">
        <v>406</v>
      </c>
      <c r="F113">
        <v>629</v>
      </c>
      <c r="G113">
        <f t="shared" si="1"/>
        <v>3120</v>
      </c>
    </row>
    <row r="114" spans="3:7" x14ac:dyDescent="0.2">
      <c r="C114">
        <v>53072</v>
      </c>
      <c r="D114">
        <v>60</v>
      </c>
      <c r="E114">
        <v>341</v>
      </c>
      <c r="F114">
        <v>489</v>
      </c>
      <c r="G114">
        <f t="shared" si="1"/>
        <v>60</v>
      </c>
    </row>
    <row r="115" spans="3:7" x14ac:dyDescent="0.2">
      <c r="C115">
        <v>53072</v>
      </c>
      <c r="D115">
        <v>1021</v>
      </c>
      <c r="E115">
        <v>382</v>
      </c>
      <c r="F115">
        <v>589</v>
      </c>
      <c r="G115">
        <f t="shared" si="1"/>
        <v>1020</v>
      </c>
    </row>
    <row r="116" spans="3:7" x14ac:dyDescent="0.2">
      <c r="C116">
        <v>53072</v>
      </c>
      <c r="D116">
        <v>3120</v>
      </c>
      <c r="E116">
        <v>468</v>
      </c>
      <c r="F116">
        <v>551</v>
      </c>
      <c r="G116">
        <f t="shared" si="1"/>
        <v>3120</v>
      </c>
    </row>
    <row r="117" spans="3:7" x14ac:dyDescent="0.2">
      <c r="C117">
        <v>71119</v>
      </c>
      <c r="D117">
        <v>60</v>
      </c>
      <c r="E117">
        <v>359</v>
      </c>
      <c r="F117">
        <v>452</v>
      </c>
      <c r="G117">
        <f t="shared" si="1"/>
        <v>60</v>
      </c>
    </row>
    <row r="118" spans="3:7" x14ac:dyDescent="0.2">
      <c r="C118">
        <v>71119</v>
      </c>
      <c r="D118">
        <v>1020</v>
      </c>
      <c r="E118">
        <v>391</v>
      </c>
      <c r="F118">
        <v>599</v>
      </c>
      <c r="G118">
        <f t="shared" si="1"/>
        <v>1020</v>
      </c>
    </row>
    <row r="119" spans="3:7" x14ac:dyDescent="0.2">
      <c r="C119">
        <v>71119</v>
      </c>
      <c r="D119">
        <v>3120</v>
      </c>
      <c r="E119">
        <v>438</v>
      </c>
      <c r="F119">
        <v>477</v>
      </c>
      <c r="G119">
        <f t="shared" si="1"/>
        <v>3120</v>
      </c>
    </row>
    <row r="120" spans="3:7" x14ac:dyDescent="0.2">
      <c r="C120">
        <v>82246</v>
      </c>
      <c r="D120">
        <v>60</v>
      </c>
      <c r="E120">
        <v>356</v>
      </c>
      <c r="F120">
        <v>463</v>
      </c>
      <c r="G120">
        <f t="shared" si="1"/>
        <v>60</v>
      </c>
    </row>
    <row r="121" spans="3:7" x14ac:dyDescent="0.2">
      <c r="C121">
        <v>82246</v>
      </c>
      <c r="D121">
        <v>1021</v>
      </c>
      <c r="E121">
        <v>354</v>
      </c>
      <c r="F121">
        <v>653</v>
      </c>
      <c r="G121">
        <f t="shared" si="1"/>
        <v>1020</v>
      </c>
    </row>
    <row r="122" spans="3:7" x14ac:dyDescent="0.2">
      <c r="C122">
        <v>82246</v>
      </c>
      <c r="D122">
        <v>3121</v>
      </c>
      <c r="E122">
        <v>427</v>
      </c>
      <c r="F122">
        <v>534</v>
      </c>
      <c r="G122">
        <f t="shared" si="1"/>
        <v>3120</v>
      </c>
    </row>
    <row r="123" spans="3:7" x14ac:dyDescent="0.2">
      <c r="C123">
        <v>85459</v>
      </c>
      <c r="D123">
        <v>60</v>
      </c>
      <c r="E123">
        <v>323</v>
      </c>
      <c r="F123">
        <v>543</v>
      </c>
      <c r="G123">
        <f t="shared" si="1"/>
        <v>60</v>
      </c>
    </row>
    <row r="124" spans="3:7" x14ac:dyDescent="0.2">
      <c r="C124">
        <v>85459</v>
      </c>
      <c r="D124">
        <v>1020</v>
      </c>
      <c r="E124">
        <v>344</v>
      </c>
      <c r="F124">
        <v>602</v>
      </c>
      <c r="G124">
        <f t="shared" si="1"/>
        <v>1020</v>
      </c>
    </row>
    <row r="125" spans="3:7" x14ac:dyDescent="0.2">
      <c r="C125">
        <v>85459</v>
      </c>
      <c r="D125">
        <v>3120</v>
      </c>
      <c r="E125">
        <v>365</v>
      </c>
      <c r="F125">
        <v>641</v>
      </c>
      <c r="G125">
        <f t="shared" si="1"/>
        <v>3120</v>
      </c>
    </row>
    <row r="126" spans="3:7" x14ac:dyDescent="0.2">
      <c r="C126">
        <v>83773</v>
      </c>
      <c r="D126">
        <v>60</v>
      </c>
      <c r="E126">
        <v>368</v>
      </c>
      <c r="F126">
        <v>479</v>
      </c>
      <c r="G126">
        <f t="shared" si="1"/>
        <v>60</v>
      </c>
    </row>
    <row r="127" spans="3:7" x14ac:dyDescent="0.2">
      <c r="C127">
        <v>83773</v>
      </c>
      <c r="D127">
        <v>1020</v>
      </c>
      <c r="E127">
        <v>429</v>
      </c>
      <c r="F127">
        <v>575</v>
      </c>
      <c r="G127">
        <f t="shared" si="1"/>
        <v>1020</v>
      </c>
    </row>
    <row r="128" spans="3:7" x14ac:dyDescent="0.2">
      <c r="C128">
        <v>83773</v>
      </c>
      <c r="D128">
        <v>3120</v>
      </c>
      <c r="E128">
        <v>391</v>
      </c>
      <c r="F128">
        <v>626</v>
      </c>
      <c r="G128">
        <f t="shared" si="1"/>
        <v>3120</v>
      </c>
    </row>
    <row r="129" spans="3:7" x14ac:dyDescent="0.2">
      <c r="C129">
        <v>24764</v>
      </c>
      <c r="D129">
        <v>60</v>
      </c>
      <c r="E129">
        <v>333</v>
      </c>
      <c r="F129">
        <v>469</v>
      </c>
      <c r="G129">
        <f t="shared" si="1"/>
        <v>60</v>
      </c>
    </row>
    <row r="130" spans="3:7" x14ac:dyDescent="0.2">
      <c r="C130">
        <v>24764</v>
      </c>
      <c r="D130">
        <v>1020</v>
      </c>
      <c r="E130">
        <v>401</v>
      </c>
      <c r="F130">
        <v>494</v>
      </c>
      <c r="G130">
        <f t="shared" si="1"/>
        <v>1020</v>
      </c>
    </row>
    <row r="131" spans="3:7" x14ac:dyDescent="0.2">
      <c r="C131">
        <v>24764</v>
      </c>
      <c r="D131">
        <v>3120</v>
      </c>
      <c r="E131">
        <v>608</v>
      </c>
      <c r="F131">
        <v>625</v>
      </c>
      <c r="G131">
        <f t="shared" ref="G131:G194" si="2">IF(D131&lt;=540,60,IF(D131&lt;=2070,1020,3120))</f>
        <v>3120</v>
      </c>
    </row>
    <row r="132" spans="3:7" x14ac:dyDescent="0.2">
      <c r="C132">
        <v>75733</v>
      </c>
      <c r="D132">
        <v>60</v>
      </c>
      <c r="E132">
        <v>349</v>
      </c>
      <c r="F132">
        <v>452</v>
      </c>
      <c r="G132">
        <f t="shared" si="2"/>
        <v>60</v>
      </c>
    </row>
    <row r="133" spans="3:7" x14ac:dyDescent="0.2">
      <c r="C133">
        <v>75733</v>
      </c>
      <c r="D133">
        <v>1020</v>
      </c>
      <c r="E133">
        <v>372</v>
      </c>
      <c r="F133">
        <v>571</v>
      </c>
      <c r="G133">
        <f t="shared" si="2"/>
        <v>1020</v>
      </c>
    </row>
    <row r="134" spans="3:7" x14ac:dyDescent="0.2">
      <c r="C134">
        <v>75733</v>
      </c>
      <c r="D134">
        <v>3120</v>
      </c>
      <c r="E134">
        <v>337</v>
      </c>
      <c r="F134">
        <v>625</v>
      </c>
      <c r="G134">
        <f t="shared" si="2"/>
        <v>3120</v>
      </c>
    </row>
    <row r="135" spans="3:7" x14ac:dyDescent="0.2">
      <c r="C135">
        <v>558</v>
      </c>
      <c r="D135">
        <v>60</v>
      </c>
      <c r="E135">
        <v>353</v>
      </c>
      <c r="F135">
        <v>535</v>
      </c>
      <c r="G135">
        <f t="shared" si="2"/>
        <v>60</v>
      </c>
    </row>
    <row r="136" spans="3:7" x14ac:dyDescent="0.2">
      <c r="C136">
        <v>558</v>
      </c>
      <c r="D136">
        <v>1020</v>
      </c>
      <c r="E136">
        <v>413</v>
      </c>
      <c r="F136">
        <v>567</v>
      </c>
      <c r="G136">
        <f t="shared" si="2"/>
        <v>1020</v>
      </c>
    </row>
    <row r="137" spans="3:7" x14ac:dyDescent="0.2">
      <c r="C137">
        <v>558</v>
      </c>
      <c r="D137">
        <v>3120</v>
      </c>
      <c r="E137">
        <v>476</v>
      </c>
      <c r="F137">
        <v>716</v>
      </c>
      <c r="G137">
        <f t="shared" si="2"/>
        <v>3120</v>
      </c>
    </row>
    <row r="138" spans="3:7" x14ac:dyDescent="0.2">
      <c r="C138">
        <v>18533</v>
      </c>
      <c r="D138">
        <v>60</v>
      </c>
      <c r="E138">
        <v>361</v>
      </c>
      <c r="F138">
        <v>535</v>
      </c>
      <c r="G138">
        <f t="shared" si="2"/>
        <v>60</v>
      </c>
    </row>
    <row r="139" spans="3:7" x14ac:dyDescent="0.2">
      <c r="C139">
        <v>18533</v>
      </c>
      <c r="D139">
        <v>1020</v>
      </c>
      <c r="E139">
        <v>479</v>
      </c>
      <c r="F139">
        <v>575</v>
      </c>
      <c r="G139">
        <f t="shared" si="2"/>
        <v>1020</v>
      </c>
    </row>
    <row r="140" spans="3:7" x14ac:dyDescent="0.2">
      <c r="C140">
        <v>18533</v>
      </c>
      <c r="D140">
        <v>3120</v>
      </c>
      <c r="E140">
        <v>436</v>
      </c>
      <c r="F140">
        <v>662</v>
      </c>
      <c r="G140">
        <f t="shared" si="2"/>
        <v>3120</v>
      </c>
    </row>
    <row r="141" spans="3:7" x14ac:dyDescent="0.2">
      <c r="C141">
        <v>68559</v>
      </c>
      <c r="D141">
        <v>60</v>
      </c>
      <c r="E141">
        <v>304</v>
      </c>
      <c r="F141">
        <v>468</v>
      </c>
      <c r="G141">
        <f t="shared" si="2"/>
        <v>60</v>
      </c>
    </row>
    <row r="142" spans="3:7" x14ac:dyDescent="0.2">
      <c r="C142">
        <v>68559</v>
      </c>
      <c r="D142">
        <v>1020</v>
      </c>
      <c r="E142">
        <v>368</v>
      </c>
      <c r="F142">
        <v>476</v>
      </c>
      <c r="G142">
        <f t="shared" si="2"/>
        <v>1020</v>
      </c>
    </row>
    <row r="143" spans="3:7" x14ac:dyDescent="0.2">
      <c r="C143">
        <v>68559</v>
      </c>
      <c r="D143">
        <v>3120</v>
      </c>
      <c r="E143">
        <v>337</v>
      </c>
      <c r="F143">
        <v>470</v>
      </c>
      <c r="G143">
        <f t="shared" si="2"/>
        <v>3120</v>
      </c>
    </row>
    <row r="144" spans="3:7" x14ac:dyDescent="0.2">
      <c r="C144">
        <v>14709</v>
      </c>
      <c r="D144">
        <v>60</v>
      </c>
      <c r="E144">
        <v>323</v>
      </c>
      <c r="F144">
        <v>456</v>
      </c>
      <c r="G144">
        <f t="shared" si="2"/>
        <v>60</v>
      </c>
    </row>
    <row r="145" spans="3:7" x14ac:dyDescent="0.2">
      <c r="C145">
        <v>14709</v>
      </c>
      <c r="D145">
        <v>1020</v>
      </c>
      <c r="E145">
        <v>355</v>
      </c>
      <c r="F145">
        <v>602</v>
      </c>
      <c r="G145">
        <f t="shared" si="2"/>
        <v>1020</v>
      </c>
    </row>
    <row r="146" spans="3:7" x14ac:dyDescent="0.2">
      <c r="C146">
        <v>14709</v>
      </c>
      <c r="D146">
        <v>3120</v>
      </c>
      <c r="E146">
        <v>439</v>
      </c>
      <c r="F146">
        <v>569</v>
      </c>
      <c r="G146">
        <f t="shared" si="2"/>
        <v>3120</v>
      </c>
    </row>
    <row r="147" spans="3:7" x14ac:dyDescent="0.2">
      <c r="C147">
        <v>90726</v>
      </c>
      <c r="D147">
        <v>60</v>
      </c>
      <c r="E147">
        <v>433</v>
      </c>
      <c r="F147">
        <v>535</v>
      </c>
      <c r="G147">
        <f t="shared" si="2"/>
        <v>60</v>
      </c>
    </row>
    <row r="148" spans="3:7" x14ac:dyDescent="0.2">
      <c r="C148">
        <v>90726</v>
      </c>
      <c r="D148">
        <v>1020</v>
      </c>
      <c r="E148">
        <v>428</v>
      </c>
      <c r="F148">
        <v>565</v>
      </c>
      <c r="G148">
        <f t="shared" si="2"/>
        <v>1020</v>
      </c>
    </row>
    <row r="149" spans="3:7" x14ac:dyDescent="0.2">
      <c r="C149">
        <v>90726</v>
      </c>
      <c r="D149">
        <v>3120</v>
      </c>
      <c r="E149">
        <v>476</v>
      </c>
      <c r="F149">
        <v>626</v>
      </c>
      <c r="G149">
        <f t="shared" si="2"/>
        <v>3120</v>
      </c>
    </row>
    <row r="150" spans="3:7" x14ac:dyDescent="0.2">
      <c r="C150">
        <v>59016</v>
      </c>
      <c r="D150">
        <v>60</v>
      </c>
      <c r="E150">
        <v>305</v>
      </c>
      <c r="F150">
        <v>448</v>
      </c>
      <c r="G150">
        <f t="shared" si="2"/>
        <v>60</v>
      </c>
    </row>
    <row r="151" spans="3:7" x14ac:dyDescent="0.2">
      <c r="C151">
        <v>59016</v>
      </c>
      <c r="D151">
        <v>1020</v>
      </c>
      <c r="E151">
        <v>313</v>
      </c>
      <c r="F151">
        <v>493</v>
      </c>
      <c r="G151">
        <f t="shared" si="2"/>
        <v>1020</v>
      </c>
    </row>
    <row r="152" spans="3:7" x14ac:dyDescent="0.2">
      <c r="C152">
        <v>59016</v>
      </c>
      <c r="D152">
        <v>3120</v>
      </c>
      <c r="E152">
        <v>434</v>
      </c>
      <c r="F152">
        <v>736</v>
      </c>
      <c r="G152">
        <f t="shared" si="2"/>
        <v>3120</v>
      </c>
    </row>
    <row r="153" spans="3:7" x14ac:dyDescent="0.2">
      <c r="C153">
        <v>57966</v>
      </c>
      <c r="D153">
        <v>60</v>
      </c>
      <c r="E153">
        <v>339</v>
      </c>
      <c r="F153">
        <v>474</v>
      </c>
      <c r="G153">
        <f t="shared" si="2"/>
        <v>60</v>
      </c>
    </row>
    <row r="154" spans="3:7" x14ac:dyDescent="0.2">
      <c r="C154">
        <v>57966</v>
      </c>
      <c r="D154">
        <v>1020</v>
      </c>
      <c r="E154">
        <v>350</v>
      </c>
      <c r="F154">
        <v>499</v>
      </c>
      <c r="G154">
        <f t="shared" si="2"/>
        <v>1020</v>
      </c>
    </row>
    <row r="155" spans="3:7" x14ac:dyDescent="0.2">
      <c r="C155">
        <v>57966</v>
      </c>
      <c r="D155">
        <v>3120</v>
      </c>
      <c r="E155">
        <v>586</v>
      </c>
      <c r="F155">
        <v>723</v>
      </c>
      <c r="G155">
        <f t="shared" si="2"/>
        <v>3120</v>
      </c>
    </row>
    <row r="156" spans="3:7" x14ac:dyDescent="0.2">
      <c r="C156">
        <v>75222</v>
      </c>
      <c r="D156">
        <v>60</v>
      </c>
      <c r="E156">
        <v>297</v>
      </c>
      <c r="F156">
        <v>465</v>
      </c>
      <c r="G156">
        <f t="shared" si="2"/>
        <v>60</v>
      </c>
    </row>
    <row r="157" spans="3:7" x14ac:dyDescent="0.2">
      <c r="C157">
        <v>75222</v>
      </c>
      <c r="D157">
        <v>1020</v>
      </c>
      <c r="E157">
        <v>356</v>
      </c>
      <c r="F157">
        <v>594</v>
      </c>
      <c r="G157">
        <f t="shared" si="2"/>
        <v>1020</v>
      </c>
    </row>
    <row r="158" spans="3:7" x14ac:dyDescent="0.2">
      <c r="C158">
        <v>75222</v>
      </c>
      <c r="D158">
        <v>3120</v>
      </c>
      <c r="E158">
        <v>458</v>
      </c>
      <c r="F158">
        <v>738</v>
      </c>
      <c r="G158">
        <f t="shared" si="2"/>
        <v>3120</v>
      </c>
    </row>
    <row r="159" spans="3:7" x14ac:dyDescent="0.2">
      <c r="C159">
        <v>75496</v>
      </c>
      <c r="D159">
        <v>60</v>
      </c>
      <c r="E159">
        <v>321</v>
      </c>
      <c r="F159">
        <v>449</v>
      </c>
      <c r="G159">
        <f t="shared" si="2"/>
        <v>60</v>
      </c>
    </row>
    <row r="160" spans="3:7" x14ac:dyDescent="0.2">
      <c r="C160">
        <v>75496</v>
      </c>
      <c r="D160">
        <v>1020</v>
      </c>
      <c r="E160">
        <v>274</v>
      </c>
      <c r="F160">
        <v>506</v>
      </c>
      <c r="G160">
        <f t="shared" si="2"/>
        <v>1020</v>
      </c>
    </row>
    <row r="161" spans="3:7" x14ac:dyDescent="0.2">
      <c r="C161">
        <v>75496</v>
      </c>
      <c r="D161">
        <v>3120</v>
      </c>
      <c r="E161">
        <v>402</v>
      </c>
      <c r="F161">
        <v>541</v>
      </c>
      <c r="G161">
        <f t="shared" si="2"/>
        <v>3120</v>
      </c>
    </row>
    <row r="162" spans="3:7" x14ac:dyDescent="0.2">
      <c r="C162">
        <v>6155</v>
      </c>
      <c r="D162">
        <v>60</v>
      </c>
      <c r="E162">
        <v>346</v>
      </c>
      <c r="F162">
        <v>464</v>
      </c>
      <c r="G162">
        <f t="shared" si="2"/>
        <v>60</v>
      </c>
    </row>
    <row r="163" spans="3:7" x14ac:dyDescent="0.2">
      <c r="C163">
        <v>6155</v>
      </c>
      <c r="D163">
        <v>1020</v>
      </c>
      <c r="E163">
        <v>382</v>
      </c>
      <c r="F163">
        <v>486</v>
      </c>
      <c r="G163">
        <f t="shared" si="2"/>
        <v>1020</v>
      </c>
    </row>
    <row r="164" spans="3:7" x14ac:dyDescent="0.2">
      <c r="C164">
        <v>6155</v>
      </c>
      <c r="D164">
        <v>3120</v>
      </c>
      <c r="E164">
        <v>256</v>
      </c>
      <c r="F164">
        <v>715</v>
      </c>
      <c r="G164">
        <f t="shared" si="2"/>
        <v>3120</v>
      </c>
    </row>
    <row r="165" spans="3:7" x14ac:dyDescent="0.2">
      <c r="C165">
        <v>31391</v>
      </c>
      <c r="D165">
        <v>60</v>
      </c>
      <c r="E165">
        <v>305</v>
      </c>
      <c r="F165">
        <v>479</v>
      </c>
      <c r="G165">
        <f t="shared" si="2"/>
        <v>60</v>
      </c>
    </row>
    <row r="166" spans="3:7" x14ac:dyDescent="0.2">
      <c r="C166">
        <v>31391</v>
      </c>
      <c r="D166">
        <v>1020</v>
      </c>
      <c r="E166">
        <v>296</v>
      </c>
      <c r="F166">
        <v>599</v>
      </c>
      <c r="G166">
        <f t="shared" si="2"/>
        <v>1020</v>
      </c>
    </row>
    <row r="167" spans="3:7" x14ac:dyDescent="0.2">
      <c r="C167">
        <v>31391</v>
      </c>
      <c r="D167">
        <v>3120</v>
      </c>
      <c r="E167">
        <v>325</v>
      </c>
      <c r="F167">
        <v>625</v>
      </c>
      <c r="G167">
        <f t="shared" si="2"/>
        <v>3120</v>
      </c>
    </row>
    <row r="168" spans="3:7" x14ac:dyDescent="0.2">
      <c r="C168">
        <v>41781</v>
      </c>
      <c r="D168">
        <v>60</v>
      </c>
      <c r="E168">
        <v>323</v>
      </c>
      <c r="F168">
        <v>448</v>
      </c>
      <c r="G168">
        <f t="shared" si="2"/>
        <v>60</v>
      </c>
    </row>
    <row r="169" spans="3:7" x14ac:dyDescent="0.2">
      <c r="C169">
        <v>41781</v>
      </c>
      <c r="D169">
        <v>1020</v>
      </c>
      <c r="E169">
        <v>324</v>
      </c>
      <c r="F169">
        <v>475</v>
      </c>
      <c r="G169">
        <f t="shared" si="2"/>
        <v>1020</v>
      </c>
    </row>
    <row r="170" spans="3:7" x14ac:dyDescent="0.2">
      <c r="C170">
        <v>41781</v>
      </c>
      <c r="D170">
        <v>3120</v>
      </c>
      <c r="E170">
        <v>402</v>
      </c>
      <c r="F170">
        <v>655</v>
      </c>
      <c r="G170">
        <f t="shared" si="2"/>
        <v>3120</v>
      </c>
    </row>
    <row r="171" spans="3:7" x14ac:dyDescent="0.2">
      <c r="C171">
        <v>23426</v>
      </c>
      <c r="D171">
        <v>60</v>
      </c>
      <c r="E171">
        <v>361</v>
      </c>
      <c r="F171">
        <v>473</v>
      </c>
      <c r="G171">
        <f t="shared" si="2"/>
        <v>60</v>
      </c>
    </row>
    <row r="172" spans="3:7" x14ac:dyDescent="0.2">
      <c r="C172">
        <v>23426</v>
      </c>
      <c r="D172">
        <v>1020</v>
      </c>
      <c r="E172">
        <v>416</v>
      </c>
      <c r="F172">
        <v>407</v>
      </c>
      <c r="G172">
        <f t="shared" si="2"/>
        <v>1020</v>
      </c>
    </row>
    <row r="173" spans="3:7" x14ac:dyDescent="0.2">
      <c r="C173">
        <v>23426</v>
      </c>
      <c r="D173">
        <v>3120</v>
      </c>
      <c r="E173">
        <v>430</v>
      </c>
      <c r="F173">
        <v>563</v>
      </c>
      <c r="G173">
        <f t="shared" si="2"/>
        <v>3120</v>
      </c>
    </row>
    <row r="174" spans="3:7" x14ac:dyDescent="0.2">
      <c r="C174">
        <v>83540</v>
      </c>
      <c r="D174">
        <v>60</v>
      </c>
      <c r="E174">
        <v>350</v>
      </c>
      <c r="F174">
        <v>455</v>
      </c>
      <c r="G174">
        <f t="shared" si="2"/>
        <v>60</v>
      </c>
    </row>
    <row r="175" spans="3:7" x14ac:dyDescent="0.2">
      <c r="C175">
        <v>83540</v>
      </c>
      <c r="D175">
        <v>1020</v>
      </c>
      <c r="E175">
        <v>367</v>
      </c>
      <c r="F175">
        <v>495</v>
      </c>
      <c r="G175">
        <f t="shared" si="2"/>
        <v>1020</v>
      </c>
    </row>
    <row r="176" spans="3:7" x14ac:dyDescent="0.2">
      <c r="C176">
        <v>83540</v>
      </c>
      <c r="D176">
        <v>3120</v>
      </c>
      <c r="E176">
        <v>286</v>
      </c>
      <c r="F176">
        <v>649</v>
      </c>
      <c r="G176">
        <f t="shared" si="2"/>
        <v>3120</v>
      </c>
    </row>
    <row r="177" spans="3:7" x14ac:dyDescent="0.2">
      <c r="C177">
        <v>28296</v>
      </c>
      <c r="D177">
        <v>60</v>
      </c>
      <c r="E177">
        <v>334</v>
      </c>
      <c r="F177">
        <v>460</v>
      </c>
      <c r="G177">
        <f t="shared" si="2"/>
        <v>60</v>
      </c>
    </row>
    <row r="178" spans="3:7" x14ac:dyDescent="0.2">
      <c r="C178">
        <v>28296</v>
      </c>
      <c r="D178">
        <v>1022</v>
      </c>
      <c r="E178">
        <v>369</v>
      </c>
      <c r="F178">
        <v>654</v>
      </c>
      <c r="G178">
        <f t="shared" si="2"/>
        <v>1020</v>
      </c>
    </row>
    <row r="179" spans="3:7" x14ac:dyDescent="0.2">
      <c r="C179">
        <v>28296</v>
      </c>
      <c r="D179">
        <v>3120</v>
      </c>
      <c r="E179">
        <v>400</v>
      </c>
      <c r="F179">
        <v>636</v>
      </c>
      <c r="G179">
        <f t="shared" si="2"/>
        <v>3120</v>
      </c>
    </row>
    <row r="180" spans="3:7" x14ac:dyDescent="0.2">
      <c r="C180">
        <v>96580</v>
      </c>
      <c r="D180">
        <v>60</v>
      </c>
      <c r="E180">
        <v>314</v>
      </c>
      <c r="F180">
        <v>471</v>
      </c>
      <c r="G180">
        <f t="shared" si="2"/>
        <v>60</v>
      </c>
    </row>
    <row r="181" spans="3:7" x14ac:dyDescent="0.2">
      <c r="C181">
        <v>96580</v>
      </c>
      <c r="D181">
        <v>1020</v>
      </c>
      <c r="E181">
        <v>380</v>
      </c>
      <c r="F181">
        <v>505</v>
      </c>
      <c r="G181">
        <f t="shared" si="2"/>
        <v>1020</v>
      </c>
    </row>
    <row r="182" spans="3:7" x14ac:dyDescent="0.2">
      <c r="C182">
        <v>96580</v>
      </c>
      <c r="D182">
        <v>3120</v>
      </c>
      <c r="E182">
        <v>487</v>
      </c>
      <c r="F182">
        <v>536</v>
      </c>
      <c r="G182">
        <f t="shared" si="2"/>
        <v>3120</v>
      </c>
    </row>
    <row r="183" spans="3:7" x14ac:dyDescent="0.2">
      <c r="C183">
        <v>59954</v>
      </c>
      <c r="D183">
        <v>60</v>
      </c>
      <c r="E183">
        <v>303</v>
      </c>
      <c r="F183">
        <v>377</v>
      </c>
      <c r="G183">
        <f t="shared" si="2"/>
        <v>60</v>
      </c>
    </row>
    <row r="184" spans="3:7" x14ac:dyDescent="0.2">
      <c r="C184">
        <v>59954</v>
      </c>
      <c r="D184">
        <v>1026</v>
      </c>
      <c r="E184">
        <v>358</v>
      </c>
      <c r="F184">
        <v>657</v>
      </c>
      <c r="G184">
        <f t="shared" si="2"/>
        <v>1020</v>
      </c>
    </row>
    <row r="185" spans="3:7" x14ac:dyDescent="0.2">
      <c r="C185">
        <v>59954</v>
      </c>
      <c r="D185">
        <v>3120</v>
      </c>
      <c r="E185">
        <v>462</v>
      </c>
      <c r="F185">
        <v>535</v>
      </c>
      <c r="G185">
        <f t="shared" si="2"/>
        <v>3120</v>
      </c>
    </row>
    <row r="186" spans="3:7" x14ac:dyDescent="0.2">
      <c r="C186">
        <v>33575</v>
      </c>
      <c r="D186">
        <v>60</v>
      </c>
      <c r="E186">
        <v>368</v>
      </c>
      <c r="F186">
        <v>472</v>
      </c>
      <c r="G186">
        <f t="shared" si="2"/>
        <v>60</v>
      </c>
    </row>
    <row r="187" spans="3:7" x14ac:dyDescent="0.2">
      <c r="C187">
        <v>33575</v>
      </c>
      <c r="D187">
        <v>1020</v>
      </c>
      <c r="E187">
        <v>483</v>
      </c>
      <c r="F187">
        <v>475</v>
      </c>
      <c r="G187">
        <f t="shared" si="2"/>
        <v>1020</v>
      </c>
    </row>
    <row r="188" spans="3:7" x14ac:dyDescent="0.2">
      <c r="C188">
        <v>33575</v>
      </c>
      <c r="D188">
        <v>3120</v>
      </c>
      <c r="E188">
        <v>359</v>
      </c>
      <c r="F188">
        <v>535</v>
      </c>
      <c r="G188">
        <f t="shared" si="2"/>
        <v>3120</v>
      </c>
    </row>
    <row r="189" spans="3:7" x14ac:dyDescent="0.2">
      <c r="C189">
        <v>20635</v>
      </c>
      <c r="D189">
        <v>60</v>
      </c>
      <c r="E189">
        <v>322</v>
      </c>
      <c r="F189">
        <v>451</v>
      </c>
      <c r="G189">
        <f t="shared" si="2"/>
        <v>60</v>
      </c>
    </row>
    <row r="190" spans="3:7" x14ac:dyDescent="0.2">
      <c r="C190">
        <v>20635</v>
      </c>
      <c r="D190">
        <v>1021</v>
      </c>
      <c r="E190">
        <v>346</v>
      </c>
      <c r="F190">
        <v>510</v>
      </c>
      <c r="G190">
        <f t="shared" si="2"/>
        <v>1020</v>
      </c>
    </row>
    <row r="191" spans="3:7" x14ac:dyDescent="0.2">
      <c r="C191">
        <v>20635</v>
      </c>
      <c r="D191">
        <v>3120</v>
      </c>
      <c r="E191">
        <v>515</v>
      </c>
      <c r="F191">
        <v>557</v>
      </c>
      <c r="G191">
        <f t="shared" si="2"/>
        <v>3120</v>
      </c>
    </row>
    <row r="192" spans="3:7" x14ac:dyDescent="0.2">
      <c r="C192">
        <v>95014</v>
      </c>
      <c r="D192">
        <v>60</v>
      </c>
      <c r="E192">
        <v>322</v>
      </c>
      <c r="F192">
        <v>451</v>
      </c>
      <c r="G192">
        <f t="shared" si="2"/>
        <v>60</v>
      </c>
    </row>
    <row r="193" spans="3:7" x14ac:dyDescent="0.2">
      <c r="C193">
        <v>95014</v>
      </c>
      <c r="D193">
        <v>1020</v>
      </c>
      <c r="E193">
        <v>363</v>
      </c>
      <c r="F193">
        <v>587</v>
      </c>
      <c r="G193">
        <f t="shared" si="2"/>
        <v>1020</v>
      </c>
    </row>
    <row r="194" spans="3:7" x14ac:dyDescent="0.2">
      <c r="C194">
        <v>95014</v>
      </c>
      <c r="D194">
        <v>3120</v>
      </c>
      <c r="E194">
        <v>559</v>
      </c>
      <c r="F194">
        <v>807</v>
      </c>
      <c r="G194">
        <f t="shared" si="2"/>
        <v>3120</v>
      </c>
    </row>
    <row r="195" spans="3:7" x14ac:dyDescent="0.2">
      <c r="C195">
        <v>26819</v>
      </c>
      <c r="D195">
        <v>60</v>
      </c>
      <c r="E195">
        <v>342</v>
      </c>
      <c r="F195">
        <v>485</v>
      </c>
      <c r="G195">
        <f t="shared" ref="G195:G258" si="3">IF(D195&lt;=540,60,IF(D195&lt;=2070,1020,3120))</f>
        <v>60</v>
      </c>
    </row>
    <row r="196" spans="3:7" x14ac:dyDescent="0.2">
      <c r="C196">
        <v>26819</v>
      </c>
      <c r="D196">
        <v>1020</v>
      </c>
      <c r="E196">
        <v>422</v>
      </c>
      <c r="F196">
        <v>493</v>
      </c>
      <c r="G196">
        <f t="shared" si="3"/>
        <v>1020</v>
      </c>
    </row>
    <row r="197" spans="3:7" x14ac:dyDescent="0.2">
      <c r="C197">
        <v>26819</v>
      </c>
      <c r="D197">
        <v>3120</v>
      </c>
      <c r="E197">
        <v>585</v>
      </c>
      <c r="F197">
        <v>626</v>
      </c>
      <c r="G197">
        <f t="shared" si="3"/>
        <v>3120</v>
      </c>
    </row>
    <row r="198" spans="3:7" x14ac:dyDescent="0.2">
      <c r="C198">
        <v>62970</v>
      </c>
      <c r="D198">
        <v>60</v>
      </c>
      <c r="E198">
        <v>360</v>
      </c>
      <c r="F198">
        <v>460</v>
      </c>
      <c r="G198">
        <f t="shared" si="3"/>
        <v>60</v>
      </c>
    </row>
    <row r="199" spans="3:7" x14ac:dyDescent="0.2">
      <c r="C199">
        <v>62970</v>
      </c>
      <c r="D199">
        <v>1020</v>
      </c>
      <c r="E199">
        <v>389</v>
      </c>
      <c r="F199">
        <v>480</v>
      </c>
      <c r="G199">
        <f t="shared" si="3"/>
        <v>1020</v>
      </c>
    </row>
    <row r="200" spans="3:7" x14ac:dyDescent="0.2">
      <c r="C200">
        <v>62970</v>
      </c>
      <c r="D200">
        <v>3120</v>
      </c>
      <c r="E200">
        <v>340</v>
      </c>
      <c r="F200">
        <v>626</v>
      </c>
      <c r="G200">
        <f t="shared" si="3"/>
        <v>3120</v>
      </c>
    </row>
    <row r="201" spans="3:7" x14ac:dyDescent="0.2">
      <c r="C201">
        <v>6575</v>
      </c>
      <c r="D201">
        <v>60</v>
      </c>
      <c r="E201">
        <v>367</v>
      </c>
      <c r="F201">
        <v>454</v>
      </c>
      <c r="G201">
        <f t="shared" si="3"/>
        <v>60</v>
      </c>
    </row>
    <row r="202" spans="3:7" x14ac:dyDescent="0.2">
      <c r="C202">
        <v>6575</v>
      </c>
      <c r="D202">
        <v>1022</v>
      </c>
      <c r="E202">
        <v>278</v>
      </c>
      <c r="F202">
        <v>506</v>
      </c>
      <c r="G202">
        <f t="shared" si="3"/>
        <v>1020</v>
      </c>
    </row>
    <row r="203" spans="3:7" x14ac:dyDescent="0.2">
      <c r="C203">
        <v>6575</v>
      </c>
      <c r="D203">
        <v>3120</v>
      </c>
      <c r="E203">
        <v>408</v>
      </c>
      <c r="F203">
        <v>728</v>
      </c>
      <c r="G203">
        <f t="shared" si="3"/>
        <v>3120</v>
      </c>
    </row>
    <row r="204" spans="3:7" x14ac:dyDescent="0.2">
      <c r="C204">
        <v>49398</v>
      </c>
      <c r="D204">
        <v>60</v>
      </c>
      <c r="E204">
        <v>314</v>
      </c>
      <c r="F204">
        <v>445</v>
      </c>
      <c r="G204">
        <f t="shared" si="3"/>
        <v>60</v>
      </c>
    </row>
    <row r="205" spans="3:7" x14ac:dyDescent="0.2">
      <c r="C205">
        <v>49398</v>
      </c>
      <c r="D205">
        <v>1020</v>
      </c>
      <c r="E205">
        <v>435</v>
      </c>
      <c r="F205">
        <v>600</v>
      </c>
      <c r="G205">
        <f t="shared" si="3"/>
        <v>1020</v>
      </c>
    </row>
    <row r="206" spans="3:7" x14ac:dyDescent="0.2">
      <c r="C206">
        <v>49398</v>
      </c>
      <c r="D206">
        <v>3120</v>
      </c>
      <c r="E206">
        <v>388</v>
      </c>
      <c r="F206">
        <v>726</v>
      </c>
      <c r="G206">
        <f t="shared" si="3"/>
        <v>3120</v>
      </c>
    </row>
    <row r="207" spans="3:7" x14ac:dyDescent="0.2">
      <c r="C207">
        <v>66604</v>
      </c>
      <c r="D207">
        <v>60</v>
      </c>
      <c r="E207">
        <v>321</v>
      </c>
      <c r="F207">
        <v>459</v>
      </c>
      <c r="G207">
        <f t="shared" si="3"/>
        <v>60</v>
      </c>
    </row>
    <row r="208" spans="3:7" x14ac:dyDescent="0.2">
      <c r="C208">
        <v>66604</v>
      </c>
      <c r="D208">
        <v>1020</v>
      </c>
      <c r="E208">
        <v>401</v>
      </c>
      <c r="F208">
        <v>661</v>
      </c>
      <c r="G208">
        <f t="shared" si="3"/>
        <v>1020</v>
      </c>
    </row>
    <row r="209" spans="3:7" x14ac:dyDescent="0.2">
      <c r="C209">
        <v>66604</v>
      </c>
      <c r="D209">
        <v>3120</v>
      </c>
      <c r="E209">
        <v>357</v>
      </c>
      <c r="F209">
        <v>720</v>
      </c>
      <c r="G209">
        <f t="shared" si="3"/>
        <v>3120</v>
      </c>
    </row>
    <row r="210" spans="3:7" x14ac:dyDescent="0.2">
      <c r="C210">
        <v>25589</v>
      </c>
      <c r="D210">
        <v>60</v>
      </c>
      <c r="E210">
        <v>308</v>
      </c>
      <c r="F210">
        <v>467</v>
      </c>
      <c r="G210">
        <f t="shared" si="3"/>
        <v>60</v>
      </c>
    </row>
    <row r="211" spans="3:7" x14ac:dyDescent="0.2">
      <c r="C211">
        <v>25589</v>
      </c>
      <c r="D211">
        <v>1022</v>
      </c>
      <c r="E211">
        <v>370</v>
      </c>
      <c r="F211">
        <v>474</v>
      </c>
      <c r="G211">
        <f t="shared" si="3"/>
        <v>1020</v>
      </c>
    </row>
    <row r="212" spans="3:7" x14ac:dyDescent="0.2">
      <c r="C212">
        <v>25589</v>
      </c>
      <c r="D212">
        <v>3120</v>
      </c>
      <c r="E212">
        <v>486</v>
      </c>
      <c r="F212">
        <v>715</v>
      </c>
      <c r="G212">
        <f t="shared" si="3"/>
        <v>3120</v>
      </c>
    </row>
    <row r="213" spans="3:7" x14ac:dyDescent="0.2">
      <c r="C213">
        <v>58458</v>
      </c>
      <c r="D213">
        <v>60</v>
      </c>
      <c r="E213">
        <v>303</v>
      </c>
      <c r="F213">
        <v>451</v>
      </c>
      <c r="G213">
        <f t="shared" si="3"/>
        <v>60</v>
      </c>
    </row>
    <row r="214" spans="3:7" x14ac:dyDescent="0.2">
      <c r="C214">
        <v>58458</v>
      </c>
      <c r="D214">
        <v>1020</v>
      </c>
      <c r="E214">
        <v>383</v>
      </c>
      <c r="F214">
        <v>515</v>
      </c>
      <c r="G214">
        <f t="shared" si="3"/>
        <v>1020</v>
      </c>
    </row>
    <row r="215" spans="3:7" x14ac:dyDescent="0.2">
      <c r="C215">
        <v>58458</v>
      </c>
      <c r="D215">
        <v>3120</v>
      </c>
      <c r="E215">
        <v>573</v>
      </c>
      <c r="F215">
        <v>733</v>
      </c>
      <c r="G215">
        <f t="shared" si="3"/>
        <v>3120</v>
      </c>
    </row>
    <row r="216" spans="3:7" x14ac:dyDescent="0.2">
      <c r="C216">
        <v>4254</v>
      </c>
      <c r="D216">
        <v>60</v>
      </c>
      <c r="E216">
        <v>324</v>
      </c>
      <c r="F216">
        <v>445</v>
      </c>
      <c r="G216">
        <f t="shared" si="3"/>
        <v>60</v>
      </c>
    </row>
    <row r="217" spans="3:7" x14ac:dyDescent="0.2">
      <c r="C217">
        <v>4254</v>
      </c>
      <c r="D217">
        <v>1020</v>
      </c>
      <c r="E217">
        <v>396</v>
      </c>
      <c r="F217">
        <v>595</v>
      </c>
      <c r="G217">
        <f t="shared" si="3"/>
        <v>1020</v>
      </c>
    </row>
    <row r="218" spans="3:7" x14ac:dyDescent="0.2">
      <c r="C218">
        <v>4254</v>
      </c>
      <c r="D218">
        <v>3120</v>
      </c>
      <c r="E218">
        <v>351</v>
      </c>
      <c r="F218">
        <v>625</v>
      </c>
      <c r="G218">
        <f t="shared" si="3"/>
        <v>3120</v>
      </c>
    </row>
    <row r="219" spans="3:7" x14ac:dyDescent="0.2">
      <c r="C219">
        <v>87605</v>
      </c>
      <c r="D219">
        <v>60</v>
      </c>
      <c r="E219">
        <v>284</v>
      </c>
      <c r="F219">
        <v>396</v>
      </c>
      <c r="G219">
        <f t="shared" si="3"/>
        <v>60</v>
      </c>
    </row>
    <row r="220" spans="3:7" x14ac:dyDescent="0.2">
      <c r="C220">
        <v>87605</v>
      </c>
      <c r="D220">
        <v>1020</v>
      </c>
      <c r="E220">
        <v>334</v>
      </c>
      <c r="F220">
        <v>577</v>
      </c>
      <c r="G220">
        <f t="shared" si="3"/>
        <v>1020</v>
      </c>
    </row>
    <row r="221" spans="3:7" x14ac:dyDescent="0.2">
      <c r="C221">
        <v>87605</v>
      </c>
      <c r="D221">
        <v>3120</v>
      </c>
      <c r="E221">
        <v>477</v>
      </c>
      <c r="F221">
        <v>562</v>
      </c>
      <c r="G221">
        <f t="shared" si="3"/>
        <v>3120</v>
      </c>
    </row>
    <row r="222" spans="3:7" x14ac:dyDescent="0.2">
      <c r="C222">
        <v>16657</v>
      </c>
      <c r="D222">
        <v>60</v>
      </c>
      <c r="E222">
        <v>311</v>
      </c>
      <c r="F222">
        <v>451</v>
      </c>
      <c r="G222">
        <f t="shared" si="3"/>
        <v>60</v>
      </c>
    </row>
    <row r="223" spans="3:7" x14ac:dyDescent="0.2">
      <c r="C223">
        <v>16657</v>
      </c>
      <c r="D223">
        <v>1022</v>
      </c>
      <c r="E223">
        <v>347</v>
      </c>
      <c r="F223">
        <v>565</v>
      </c>
      <c r="G223">
        <f t="shared" si="3"/>
        <v>1020</v>
      </c>
    </row>
    <row r="224" spans="3:7" x14ac:dyDescent="0.2">
      <c r="C224">
        <v>16657</v>
      </c>
      <c r="D224">
        <v>3120</v>
      </c>
      <c r="E224">
        <v>378</v>
      </c>
      <c r="F224">
        <v>625</v>
      </c>
      <c r="G224">
        <f t="shared" si="3"/>
        <v>3120</v>
      </c>
    </row>
    <row r="225" spans="3:7" x14ac:dyDescent="0.2">
      <c r="C225">
        <v>30151</v>
      </c>
      <c r="D225">
        <v>60</v>
      </c>
      <c r="E225">
        <v>334</v>
      </c>
      <c r="F225">
        <v>454</v>
      </c>
      <c r="G225">
        <f t="shared" si="3"/>
        <v>60</v>
      </c>
    </row>
    <row r="226" spans="3:7" x14ac:dyDescent="0.2">
      <c r="C226">
        <v>30151</v>
      </c>
      <c r="D226">
        <v>1020</v>
      </c>
      <c r="E226">
        <v>458</v>
      </c>
      <c r="F226">
        <v>655</v>
      </c>
      <c r="G226">
        <f t="shared" si="3"/>
        <v>1020</v>
      </c>
    </row>
    <row r="227" spans="3:7" x14ac:dyDescent="0.2">
      <c r="C227">
        <v>30151</v>
      </c>
      <c r="D227">
        <v>3120</v>
      </c>
      <c r="E227">
        <v>590</v>
      </c>
      <c r="F227">
        <v>717</v>
      </c>
      <c r="G227">
        <f t="shared" si="3"/>
        <v>3120</v>
      </c>
    </row>
    <row r="228" spans="3:7" x14ac:dyDescent="0.2">
      <c r="C228">
        <v>56933</v>
      </c>
      <c r="D228">
        <v>60</v>
      </c>
      <c r="E228">
        <v>357</v>
      </c>
      <c r="F228">
        <v>457</v>
      </c>
      <c r="G228">
        <f t="shared" si="3"/>
        <v>60</v>
      </c>
    </row>
    <row r="229" spans="3:7" x14ac:dyDescent="0.2">
      <c r="C229">
        <v>56933</v>
      </c>
      <c r="D229">
        <v>1020</v>
      </c>
      <c r="E229">
        <v>331</v>
      </c>
      <c r="F229">
        <v>503</v>
      </c>
      <c r="G229">
        <f t="shared" si="3"/>
        <v>1020</v>
      </c>
    </row>
    <row r="230" spans="3:7" x14ac:dyDescent="0.2">
      <c r="C230">
        <v>56933</v>
      </c>
      <c r="D230">
        <v>3120</v>
      </c>
      <c r="E230">
        <v>488</v>
      </c>
      <c r="F230">
        <v>626</v>
      </c>
      <c r="G230">
        <f t="shared" si="3"/>
        <v>3120</v>
      </c>
    </row>
    <row r="231" spans="3:7" x14ac:dyDescent="0.2">
      <c r="C231">
        <v>27506</v>
      </c>
      <c r="D231">
        <v>60</v>
      </c>
      <c r="E231">
        <v>324</v>
      </c>
      <c r="F231">
        <v>484</v>
      </c>
      <c r="G231">
        <f t="shared" si="3"/>
        <v>60</v>
      </c>
    </row>
    <row r="232" spans="3:7" x14ac:dyDescent="0.2">
      <c r="C232">
        <v>27506</v>
      </c>
      <c r="D232">
        <v>1020</v>
      </c>
      <c r="E232">
        <v>342</v>
      </c>
      <c r="F232">
        <v>565</v>
      </c>
      <c r="G232">
        <f t="shared" si="3"/>
        <v>1020</v>
      </c>
    </row>
    <row r="233" spans="3:7" x14ac:dyDescent="0.2">
      <c r="C233">
        <v>27506</v>
      </c>
      <c r="D233">
        <v>3120</v>
      </c>
      <c r="E233">
        <v>339</v>
      </c>
      <c r="F233">
        <v>540</v>
      </c>
      <c r="G233">
        <f t="shared" si="3"/>
        <v>3120</v>
      </c>
    </row>
    <row r="234" spans="3:7" x14ac:dyDescent="0.2">
      <c r="C234">
        <v>75224</v>
      </c>
      <c r="D234">
        <v>60</v>
      </c>
      <c r="E234">
        <v>318</v>
      </c>
      <c r="F234">
        <v>482</v>
      </c>
      <c r="G234">
        <f t="shared" si="3"/>
        <v>60</v>
      </c>
    </row>
    <row r="235" spans="3:7" x14ac:dyDescent="0.2">
      <c r="C235">
        <v>75224</v>
      </c>
      <c r="D235">
        <v>1021</v>
      </c>
      <c r="E235">
        <v>317</v>
      </c>
      <c r="F235">
        <v>746</v>
      </c>
      <c r="G235">
        <f t="shared" si="3"/>
        <v>1020</v>
      </c>
    </row>
    <row r="236" spans="3:7" x14ac:dyDescent="0.2">
      <c r="C236">
        <v>75224</v>
      </c>
      <c r="D236">
        <v>3120</v>
      </c>
      <c r="E236">
        <v>405</v>
      </c>
      <c r="F236">
        <v>661</v>
      </c>
      <c r="G236">
        <f t="shared" si="3"/>
        <v>3120</v>
      </c>
    </row>
    <row r="237" spans="3:7" x14ac:dyDescent="0.2">
      <c r="C237">
        <v>85179</v>
      </c>
      <c r="D237">
        <v>60</v>
      </c>
      <c r="E237">
        <v>348</v>
      </c>
      <c r="F237">
        <v>538</v>
      </c>
      <c r="G237">
        <f t="shared" si="3"/>
        <v>60</v>
      </c>
    </row>
    <row r="238" spans="3:7" x14ac:dyDescent="0.2">
      <c r="C238">
        <v>85179</v>
      </c>
      <c r="D238">
        <v>1020</v>
      </c>
      <c r="E238">
        <v>298</v>
      </c>
      <c r="F238">
        <v>482</v>
      </c>
      <c r="G238">
        <f t="shared" si="3"/>
        <v>1020</v>
      </c>
    </row>
    <row r="239" spans="3:7" x14ac:dyDescent="0.2">
      <c r="C239">
        <v>85179</v>
      </c>
      <c r="D239">
        <v>3120</v>
      </c>
      <c r="E239">
        <v>376</v>
      </c>
      <c r="F239">
        <v>1075</v>
      </c>
      <c r="G239">
        <f t="shared" si="3"/>
        <v>3120</v>
      </c>
    </row>
    <row r="240" spans="3:7" x14ac:dyDescent="0.2">
      <c r="C240">
        <v>97808</v>
      </c>
      <c r="D240">
        <v>60</v>
      </c>
      <c r="E240">
        <v>313</v>
      </c>
      <c r="F240">
        <v>450</v>
      </c>
      <c r="G240">
        <f t="shared" si="3"/>
        <v>60</v>
      </c>
    </row>
    <row r="241" spans="3:7" x14ac:dyDescent="0.2">
      <c r="C241">
        <v>97808</v>
      </c>
      <c r="D241">
        <v>1020</v>
      </c>
      <c r="E241">
        <v>341</v>
      </c>
      <c r="F241">
        <v>580</v>
      </c>
      <c r="G241">
        <f t="shared" si="3"/>
        <v>1020</v>
      </c>
    </row>
    <row r="242" spans="3:7" x14ac:dyDescent="0.2">
      <c r="C242">
        <v>97808</v>
      </c>
      <c r="D242">
        <v>3120</v>
      </c>
      <c r="E242">
        <v>404</v>
      </c>
      <c r="F242">
        <v>625</v>
      </c>
      <c r="G242">
        <f t="shared" si="3"/>
        <v>3120</v>
      </c>
    </row>
    <row r="243" spans="3:7" x14ac:dyDescent="0.2">
      <c r="C243">
        <v>56970</v>
      </c>
      <c r="D243">
        <v>60</v>
      </c>
      <c r="E243">
        <v>321</v>
      </c>
      <c r="F243">
        <v>387</v>
      </c>
      <c r="G243">
        <f t="shared" si="3"/>
        <v>60</v>
      </c>
    </row>
    <row r="244" spans="3:7" x14ac:dyDescent="0.2">
      <c r="C244">
        <v>56970</v>
      </c>
      <c r="D244">
        <v>1024</v>
      </c>
      <c r="E244">
        <v>422</v>
      </c>
      <c r="F244">
        <v>395</v>
      </c>
      <c r="G244">
        <f t="shared" si="3"/>
        <v>1020</v>
      </c>
    </row>
    <row r="245" spans="3:7" x14ac:dyDescent="0.2">
      <c r="C245">
        <v>56970</v>
      </c>
      <c r="D245">
        <v>3120</v>
      </c>
      <c r="E245">
        <v>771</v>
      </c>
      <c r="F245">
        <v>646</v>
      </c>
      <c r="G245">
        <f t="shared" si="3"/>
        <v>3120</v>
      </c>
    </row>
    <row r="246" spans="3:7" x14ac:dyDescent="0.2">
      <c r="C246">
        <v>99307</v>
      </c>
      <c r="D246">
        <v>60</v>
      </c>
      <c r="E246">
        <v>374</v>
      </c>
      <c r="F246">
        <v>536</v>
      </c>
      <c r="G246">
        <f t="shared" si="3"/>
        <v>60</v>
      </c>
    </row>
    <row r="247" spans="3:7" x14ac:dyDescent="0.2">
      <c r="C247">
        <v>99307</v>
      </c>
      <c r="D247">
        <v>1020</v>
      </c>
      <c r="E247">
        <v>286</v>
      </c>
      <c r="F247">
        <v>475</v>
      </c>
      <c r="G247">
        <f t="shared" si="3"/>
        <v>1020</v>
      </c>
    </row>
    <row r="248" spans="3:7" x14ac:dyDescent="0.2">
      <c r="C248">
        <v>99307</v>
      </c>
      <c r="D248">
        <v>3120</v>
      </c>
      <c r="E248">
        <v>347</v>
      </c>
      <c r="F248">
        <v>738</v>
      </c>
      <c r="G248">
        <f t="shared" si="3"/>
        <v>3120</v>
      </c>
    </row>
    <row r="249" spans="3:7" x14ac:dyDescent="0.2">
      <c r="C249">
        <v>38177</v>
      </c>
      <c r="D249">
        <v>60</v>
      </c>
      <c r="E249">
        <v>312</v>
      </c>
      <c r="F249">
        <v>473</v>
      </c>
      <c r="G249">
        <f t="shared" si="3"/>
        <v>60</v>
      </c>
    </row>
    <row r="250" spans="3:7" x14ac:dyDescent="0.2">
      <c r="C250">
        <v>38177</v>
      </c>
      <c r="D250">
        <v>1021</v>
      </c>
      <c r="E250">
        <v>397</v>
      </c>
      <c r="F250">
        <v>474</v>
      </c>
      <c r="G250">
        <f t="shared" si="3"/>
        <v>1020</v>
      </c>
    </row>
    <row r="251" spans="3:7" x14ac:dyDescent="0.2">
      <c r="C251">
        <v>38177</v>
      </c>
      <c r="D251">
        <v>3120</v>
      </c>
      <c r="E251">
        <v>344</v>
      </c>
      <c r="F251">
        <v>646</v>
      </c>
      <c r="G251">
        <f t="shared" si="3"/>
        <v>3120</v>
      </c>
    </row>
    <row r="252" spans="3:7" x14ac:dyDescent="0.2">
      <c r="C252">
        <v>25942</v>
      </c>
      <c r="D252">
        <v>60</v>
      </c>
      <c r="E252">
        <v>315</v>
      </c>
      <c r="F252">
        <v>475</v>
      </c>
      <c r="G252">
        <f t="shared" si="3"/>
        <v>60</v>
      </c>
    </row>
    <row r="253" spans="3:7" x14ac:dyDescent="0.2">
      <c r="C253">
        <v>25942</v>
      </c>
      <c r="D253">
        <v>1022</v>
      </c>
      <c r="E253">
        <v>466</v>
      </c>
      <c r="F253">
        <v>569</v>
      </c>
      <c r="G253">
        <f t="shared" si="3"/>
        <v>1020</v>
      </c>
    </row>
    <row r="254" spans="3:7" x14ac:dyDescent="0.2">
      <c r="C254">
        <v>25942</v>
      </c>
      <c r="D254">
        <v>3120</v>
      </c>
      <c r="E254">
        <v>543</v>
      </c>
      <c r="F254">
        <v>625</v>
      </c>
      <c r="G254">
        <f t="shared" si="3"/>
        <v>3120</v>
      </c>
    </row>
    <row r="255" spans="3:7" x14ac:dyDescent="0.2">
      <c r="C255">
        <v>43049</v>
      </c>
      <c r="D255">
        <v>60</v>
      </c>
      <c r="E255">
        <v>353</v>
      </c>
      <c r="F255">
        <v>482</v>
      </c>
      <c r="G255">
        <f t="shared" si="3"/>
        <v>60</v>
      </c>
    </row>
    <row r="256" spans="3:7" x14ac:dyDescent="0.2">
      <c r="C256">
        <v>43049</v>
      </c>
      <c r="D256">
        <v>1020</v>
      </c>
      <c r="E256">
        <v>463</v>
      </c>
      <c r="F256">
        <v>569</v>
      </c>
      <c r="G256">
        <f t="shared" si="3"/>
        <v>1020</v>
      </c>
    </row>
    <row r="257" spans="3:7" x14ac:dyDescent="0.2">
      <c r="C257">
        <v>43049</v>
      </c>
      <c r="D257">
        <v>3120</v>
      </c>
      <c r="E257">
        <v>419</v>
      </c>
      <c r="F257">
        <v>538</v>
      </c>
      <c r="G257">
        <f t="shared" si="3"/>
        <v>3120</v>
      </c>
    </row>
    <row r="258" spans="3:7" x14ac:dyDescent="0.2">
      <c r="C258">
        <v>13272</v>
      </c>
      <c r="D258">
        <v>60</v>
      </c>
      <c r="E258">
        <v>348</v>
      </c>
      <c r="F258">
        <v>445</v>
      </c>
      <c r="G258">
        <f t="shared" si="3"/>
        <v>60</v>
      </c>
    </row>
    <row r="259" spans="3:7" x14ac:dyDescent="0.2">
      <c r="C259">
        <v>13272</v>
      </c>
      <c r="D259">
        <v>1020</v>
      </c>
      <c r="E259">
        <v>387</v>
      </c>
      <c r="F259">
        <v>475</v>
      </c>
      <c r="G259">
        <f t="shared" ref="G259:G302" si="4">IF(D259&lt;=540,60,IF(D259&lt;=2070,1020,3120))</f>
        <v>1020</v>
      </c>
    </row>
    <row r="260" spans="3:7" x14ac:dyDescent="0.2">
      <c r="C260">
        <v>13272</v>
      </c>
      <c r="D260">
        <v>3120</v>
      </c>
      <c r="E260">
        <v>669</v>
      </c>
      <c r="F260">
        <v>535</v>
      </c>
      <c r="G260">
        <f t="shared" si="4"/>
        <v>3120</v>
      </c>
    </row>
    <row r="261" spans="3:7" x14ac:dyDescent="0.2">
      <c r="C261">
        <v>19375</v>
      </c>
      <c r="D261">
        <v>60</v>
      </c>
      <c r="E261">
        <v>355</v>
      </c>
      <c r="F261">
        <v>452</v>
      </c>
      <c r="G261">
        <f t="shared" si="4"/>
        <v>60</v>
      </c>
    </row>
    <row r="262" spans="3:7" x14ac:dyDescent="0.2">
      <c r="C262">
        <v>19375</v>
      </c>
      <c r="D262">
        <v>1020</v>
      </c>
      <c r="E262">
        <v>650</v>
      </c>
      <c r="F262">
        <v>749</v>
      </c>
      <c r="G262">
        <f t="shared" si="4"/>
        <v>1020</v>
      </c>
    </row>
    <row r="263" spans="3:7" x14ac:dyDescent="0.2">
      <c r="C263">
        <v>19375</v>
      </c>
      <c r="D263">
        <v>3120</v>
      </c>
      <c r="E263">
        <v>443</v>
      </c>
      <c r="F263">
        <v>807</v>
      </c>
      <c r="G263">
        <f t="shared" si="4"/>
        <v>3120</v>
      </c>
    </row>
    <row r="264" spans="3:7" x14ac:dyDescent="0.2">
      <c r="C264">
        <v>8699</v>
      </c>
      <c r="D264">
        <v>60</v>
      </c>
      <c r="E264">
        <v>324</v>
      </c>
      <c r="F264">
        <v>472</v>
      </c>
      <c r="G264">
        <f t="shared" si="4"/>
        <v>60</v>
      </c>
    </row>
    <row r="265" spans="3:7" x14ac:dyDescent="0.2">
      <c r="C265">
        <v>8699</v>
      </c>
      <c r="D265">
        <v>1021</v>
      </c>
      <c r="E265">
        <v>457</v>
      </c>
      <c r="F265">
        <v>481</v>
      </c>
      <c r="G265">
        <f t="shared" si="4"/>
        <v>1020</v>
      </c>
    </row>
    <row r="266" spans="3:7" x14ac:dyDescent="0.2">
      <c r="C266">
        <v>8699</v>
      </c>
      <c r="D266">
        <v>3120</v>
      </c>
      <c r="E266">
        <v>571</v>
      </c>
      <c r="F266">
        <v>562</v>
      </c>
      <c r="G266">
        <f t="shared" si="4"/>
        <v>3120</v>
      </c>
    </row>
    <row r="267" spans="3:7" x14ac:dyDescent="0.2">
      <c r="C267">
        <v>55852</v>
      </c>
      <c r="D267">
        <v>60</v>
      </c>
      <c r="E267">
        <v>324</v>
      </c>
      <c r="F267">
        <v>470</v>
      </c>
      <c r="G267">
        <f t="shared" si="4"/>
        <v>60</v>
      </c>
    </row>
    <row r="268" spans="3:7" x14ac:dyDescent="0.2">
      <c r="C268">
        <v>55852</v>
      </c>
      <c r="D268">
        <v>1020</v>
      </c>
      <c r="E268">
        <v>373</v>
      </c>
      <c r="F268">
        <v>494</v>
      </c>
      <c r="G268">
        <f t="shared" si="4"/>
        <v>1020</v>
      </c>
    </row>
    <row r="269" spans="3:7" x14ac:dyDescent="0.2">
      <c r="C269">
        <v>55852</v>
      </c>
      <c r="D269">
        <v>3120</v>
      </c>
      <c r="E269">
        <v>368</v>
      </c>
      <c r="F269">
        <v>654</v>
      </c>
      <c r="G269">
        <f t="shared" si="4"/>
        <v>3120</v>
      </c>
    </row>
    <row r="270" spans="3:7" x14ac:dyDescent="0.2">
      <c r="C270">
        <v>41615</v>
      </c>
      <c r="D270">
        <v>60</v>
      </c>
      <c r="E270">
        <v>354</v>
      </c>
      <c r="F270">
        <v>445</v>
      </c>
      <c r="G270">
        <f t="shared" si="4"/>
        <v>60</v>
      </c>
    </row>
    <row r="271" spans="3:7" x14ac:dyDescent="0.2">
      <c r="C271">
        <v>41615</v>
      </c>
      <c r="D271">
        <v>1020</v>
      </c>
      <c r="E271">
        <v>352</v>
      </c>
      <c r="F271">
        <v>567</v>
      </c>
      <c r="G271">
        <f t="shared" si="4"/>
        <v>1020</v>
      </c>
    </row>
    <row r="272" spans="3:7" x14ac:dyDescent="0.2">
      <c r="C272">
        <v>41615</v>
      </c>
      <c r="D272">
        <v>3120</v>
      </c>
      <c r="E272">
        <v>546</v>
      </c>
      <c r="F272">
        <v>570</v>
      </c>
      <c r="G272">
        <f t="shared" si="4"/>
        <v>3120</v>
      </c>
    </row>
    <row r="273" spans="3:7" x14ac:dyDescent="0.2">
      <c r="C273">
        <v>24527</v>
      </c>
      <c r="D273">
        <v>60</v>
      </c>
      <c r="E273">
        <v>357</v>
      </c>
      <c r="F273">
        <v>485</v>
      </c>
      <c r="G273">
        <f t="shared" si="4"/>
        <v>60</v>
      </c>
    </row>
    <row r="274" spans="3:7" x14ac:dyDescent="0.2">
      <c r="C274">
        <v>24527</v>
      </c>
      <c r="D274">
        <v>1020</v>
      </c>
      <c r="E274">
        <v>361</v>
      </c>
      <c r="F274">
        <v>565</v>
      </c>
      <c r="G274">
        <f t="shared" si="4"/>
        <v>1020</v>
      </c>
    </row>
    <row r="275" spans="3:7" x14ac:dyDescent="0.2">
      <c r="C275">
        <v>24527</v>
      </c>
      <c r="D275">
        <v>3120</v>
      </c>
      <c r="E275">
        <v>278</v>
      </c>
      <c r="F275">
        <v>935</v>
      </c>
      <c r="G275">
        <f t="shared" si="4"/>
        <v>3120</v>
      </c>
    </row>
    <row r="276" spans="3:7" x14ac:dyDescent="0.2">
      <c r="C276">
        <v>30981</v>
      </c>
      <c r="D276">
        <v>60</v>
      </c>
      <c r="E276">
        <v>445</v>
      </c>
      <c r="F276">
        <v>536</v>
      </c>
      <c r="G276">
        <f t="shared" si="4"/>
        <v>60</v>
      </c>
    </row>
    <row r="277" spans="3:7" x14ac:dyDescent="0.2">
      <c r="C277">
        <v>30981</v>
      </c>
      <c r="D277">
        <v>1021</v>
      </c>
      <c r="E277">
        <v>430</v>
      </c>
      <c r="F277">
        <v>420</v>
      </c>
      <c r="G277">
        <f t="shared" si="4"/>
        <v>1020</v>
      </c>
    </row>
    <row r="278" spans="3:7" x14ac:dyDescent="0.2">
      <c r="C278">
        <v>30981</v>
      </c>
      <c r="D278">
        <v>3120</v>
      </c>
      <c r="E278">
        <v>423</v>
      </c>
      <c r="F278">
        <v>535</v>
      </c>
      <c r="G278">
        <f t="shared" si="4"/>
        <v>3120</v>
      </c>
    </row>
    <row r="279" spans="3:7" x14ac:dyDescent="0.2">
      <c r="C279">
        <v>87584</v>
      </c>
      <c r="D279">
        <v>60</v>
      </c>
      <c r="E279">
        <v>321</v>
      </c>
      <c r="F279">
        <v>451</v>
      </c>
      <c r="G279">
        <f t="shared" si="4"/>
        <v>60</v>
      </c>
    </row>
    <row r="280" spans="3:7" x14ac:dyDescent="0.2">
      <c r="C280">
        <v>87584</v>
      </c>
      <c r="D280">
        <v>1020</v>
      </c>
      <c r="E280">
        <v>385</v>
      </c>
      <c r="F280">
        <v>743</v>
      </c>
      <c r="G280">
        <f t="shared" si="4"/>
        <v>1020</v>
      </c>
    </row>
    <row r="281" spans="3:7" x14ac:dyDescent="0.2">
      <c r="C281">
        <v>87584</v>
      </c>
      <c r="D281">
        <v>3120</v>
      </c>
      <c r="E281">
        <v>530</v>
      </c>
      <c r="F281">
        <v>805</v>
      </c>
      <c r="G281">
        <f t="shared" si="4"/>
        <v>3120</v>
      </c>
    </row>
    <row r="282" spans="3:7" x14ac:dyDescent="0.2">
      <c r="C282">
        <v>36653</v>
      </c>
      <c r="D282">
        <v>60</v>
      </c>
      <c r="E282">
        <v>339</v>
      </c>
      <c r="F282">
        <v>537</v>
      </c>
      <c r="G282">
        <f t="shared" si="4"/>
        <v>60</v>
      </c>
    </row>
    <row r="283" spans="3:7" x14ac:dyDescent="0.2">
      <c r="C283">
        <v>36653</v>
      </c>
      <c r="D283">
        <v>1021</v>
      </c>
      <c r="E283">
        <v>438</v>
      </c>
      <c r="F283">
        <v>564</v>
      </c>
      <c r="G283">
        <f t="shared" si="4"/>
        <v>1020</v>
      </c>
    </row>
    <row r="284" spans="3:7" x14ac:dyDescent="0.2">
      <c r="C284">
        <v>36653</v>
      </c>
      <c r="D284">
        <v>3120</v>
      </c>
      <c r="E284">
        <v>415</v>
      </c>
      <c r="F284">
        <v>819</v>
      </c>
      <c r="G284">
        <f t="shared" si="4"/>
        <v>3120</v>
      </c>
    </row>
    <row r="285" spans="3:7" x14ac:dyDescent="0.2">
      <c r="C285">
        <v>49149</v>
      </c>
      <c r="D285">
        <v>60</v>
      </c>
      <c r="E285">
        <v>324</v>
      </c>
      <c r="F285">
        <v>449</v>
      </c>
      <c r="G285">
        <f t="shared" si="4"/>
        <v>60</v>
      </c>
    </row>
    <row r="286" spans="3:7" x14ac:dyDescent="0.2">
      <c r="C286">
        <v>49149</v>
      </c>
      <c r="D286">
        <v>1022</v>
      </c>
      <c r="E286">
        <v>371</v>
      </c>
      <c r="F286">
        <v>476</v>
      </c>
      <c r="G286">
        <f t="shared" si="4"/>
        <v>1020</v>
      </c>
    </row>
    <row r="287" spans="3:7" x14ac:dyDescent="0.2">
      <c r="C287">
        <v>49149</v>
      </c>
      <c r="D287">
        <v>3120</v>
      </c>
      <c r="E287">
        <v>555</v>
      </c>
      <c r="F287">
        <v>572</v>
      </c>
      <c r="G287">
        <f t="shared" si="4"/>
        <v>3120</v>
      </c>
    </row>
    <row r="288" spans="3:7" x14ac:dyDescent="0.2">
      <c r="C288">
        <v>11158</v>
      </c>
      <c r="D288">
        <v>60</v>
      </c>
      <c r="E288">
        <v>301</v>
      </c>
      <c r="F288">
        <v>446</v>
      </c>
      <c r="G288">
        <f t="shared" si="4"/>
        <v>60</v>
      </c>
    </row>
    <row r="289" spans="3:7" x14ac:dyDescent="0.2">
      <c r="C289">
        <v>11158</v>
      </c>
      <c r="D289">
        <v>1020</v>
      </c>
      <c r="E289">
        <v>439</v>
      </c>
      <c r="F289">
        <v>385</v>
      </c>
      <c r="G289">
        <f t="shared" si="4"/>
        <v>1020</v>
      </c>
    </row>
    <row r="290" spans="3:7" x14ac:dyDescent="0.2">
      <c r="C290">
        <v>11158</v>
      </c>
      <c r="D290">
        <v>3120</v>
      </c>
      <c r="E290">
        <v>525</v>
      </c>
      <c r="F290">
        <v>535</v>
      </c>
      <c r="G290">
        <f t="shared" si="4"/>
        <v>3120</v>
      </c>
    </row>
    <row r="291" spans="3:7" x14ac:dyDescent="0.2">
      <c r="C291">
        <v>98652</v>
      </c>
      <c r="D291">
        <v>60</v>
      </c>
      <c r="E291">
        <v>358</v>
      </c>
      <c r="F291">
        <v>466</v>
      </c>
      <c r="G291">
        <f t="shared" si="4"/>
        <v>60</v>
      </c>
    </row>
    <row r="292" spans="3:7" x14ac:dyDescent="0.2">
      <c r="C292">
        <v>98652</v>
      </c>
      <c r="D292">
        <v>1020</v>
      </c>
      <c r="E292">
        <v>444</v>
      </c>
      <c r="F292">
        <v>662</v>
      </c>
      <c r="G292">
        <f t="shared" si="4"/>
        <v>1020</v>
      </c>
    </row>
    <row r="293" spans="3:7" x14ac:dyDescent="0.2">
      <c r="C293">
        <v>98652</v>
      </c>
      <c r="D293">
        <v>3120</v>
      </c>
      <c r="E293">
        <v>421</v>
      </c>
      <c r="F293">
        <v>647</v>
      </c>
      <c r="G293">
        <f t="shared" si="4"/>
        <v>3120</v>
      </c>
    </row>
    <row r="294" spans="3:7" x14ac:dyDescent="0.2">
      <c r="C294">
        <v>23381</v>
      </c>
      <c r="D294">
        <v>60</v>
      </c>
      <c r="E294">
        <v>276</v>
      </c>
      <c r="F294">
        <v>381</v>
      </c>
      <c r="G294">
        <f t="shared" si="4"/>
        <v>60</v>
      </c>
    </row>
    <row r="295" spans="3:7" x14ac:dyDescent="0.2">
      <c r="C295">
        <v>23381</v>
      </c>
      <c r="D295">
        <v>1020</v>
      </c>
      <c r="E295">
        <v>460</v>
      </c>
      <c r="F295">
        <v>665</v>
      </c>
      <c r="G295">
        <f t="shared" si="4"/>
        <v>1020</v>
      </c>
    </row>
    <row r="296" spans="3:7" x14ac:dyDescent="0.2">
      <c r="C296">
        <v>23381</v>
      </c>
      <c r="D296">
        <v>3120</v>
      </c>
      <c r="E296">
        <v>420</v>
      </c>
      <c r="F296">
        <v>625</v>
      </c>
      <c r="G296">
        <f t="shared" si="4"/>
        <v>3120</v>
      </c>
    </row>
    <row r="297" spans="3:7" x14ac:dyDescent="0.2">
      <c r="C297">
        <v>64911</v>
      </c>
      <c r="D297">
        <v>60</v>
      </c>
      <c r="E297">
        <v>335</v>
      </c>
      <c r="F297">
        <v>535</v>
      </c>
      <c r="G297">
        <f t="shared" si="4"/>
        <v>60</v>
      </c>
    </row>
    <row r="298" spans="3:7" x14ac:dyDescent="0.2">
      <c r="C298">
        <v>64911</v>
      </c>
      <c r="D298">
        <v>1021</v>
      </c>
      <c r="E298">
        <v>364</v>
      </c>
      <c r="F298">
        <v>600</v>
      </c>
      <c r="G298">
        <f t="shared" si="4"/>
        <v>1020</v>
      </c>
    </row>
    <row r="299" spans="3:7" x14ac:dyDescent="0.2">
      <c r="C299">
        <v>64911</v>
      </c>
      <c r="D299">
        <v>3120</v>
      </c>
      <c r="E299">
        <v>559</v>
      </c>
      <c r="F299">
        <v>535</v>
      </c>
      <c r="G299">
        <f t="shared" si="4"/>
        <v>3120</v>
      </c>
    </row>
    <row r="300" spans="3:7" x14ac:dyDescent="0.2">
      <c r="C300">
        <v>31294</v>
      </c>
      <c r="D300">
        <v>60</v>
      </c>
      <c r="E300">
        <v>353</v>
      </c>
      <c r="F300">
        <v>474</v>
      </c>
      <c r="G300">
        <f t="shared" si="4"/>
        <v>60</v>
      </c>
    </row>
    <row r="301" spans="3:7" x14ac:dyDescent="0.2">
      <c r="C301">
        <v>31294</v>
      </c>
      <c r="D301">
        <v>1020</v>
      </c>
      <c r="E301">
        <v>335</v>
      </c>
      <c r="F301">
        <v>494</v>
      </c>
      <c r="G301">
        <f t="shared" si="4"/>
        <v>1020</v>
      </c>
    </row>
    <row r="302" spans="3:7" x14ac:dyDescent="0.2">
      <c r="C302">
        <v>31294</v>
      </c>
      <c r="D302">
        <v>3120</v>
      </c>
      <c r="E302">
        <v>584</v>
      </c>
      <c r="F302">
        <v>652</v>
      </c>
      <c r="G302">
        <f t="shared" si="4"/>
        <v>3120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0B05E9-5E94-014E-B6E0-9ED3661840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tripinfo (3)</vt:lpstr>
      <vt:lpstr>tripinfo</vt:lpstr>
      <vt:lpstr>Query (2)</vt:lpstr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O'Dea, Edan</dc:creator>
  <cp:lastModifiedBy>Edan O'Dea</cp:lastModifiedBy>
  <dcterms:created xsi:type="dcterms:W3CDTF">2026-05-11T23:38:50Z</dcterms:created>
  <dcterms:modified xsi:type="dcterms:W3CDTF">2026-05-15T03:53:31Z</dcterms:modified>
</cp:coreProperties>
</file>